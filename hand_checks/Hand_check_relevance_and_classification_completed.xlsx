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w to use" sheetId="1" state="visible" r:id="rId3"/>
    <sheet name="Results" sheetId="2" state="visible" r:id="rId4"/>
    <sheet name="A Relevance" sheetId="3" state="visible" r:id="rId5"/>
    <sheet name="B Classification" sheetId="4" state="visible" r:id="rId6"/>
    <sheet name="Lists" sheetId="5" state="visible" r:id="rId7"/>
    <sheet name="Rules" sheetId="6" state="visible" r:id="rId8"/>
    <sheet name="QA Review Notes" sheetId="7" state="visible" r:id="rId9"/>
    <sheet name="Revisions" sheetId="8" state="visible" r:id="rId10"/>
  </sheets>
  <definedNames>
    <definedName function="false" hidden="true" localSheetId="2" name="_xlnm._FilterDatabase" vbProcedure="false">'A Relevance'!$A$1:$I$101</definedName>
    <definedName function="false" hidden="true" localSheetId="3" name="_xlnm._FilterDatabase" vbProcedure="false">'B Classification'!$A$1:$N$101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<sst xmlns="http://schemas.openxmlformats.org/spreadsheetml/2006/main" count="1689" uniqueCount="920">
  <si>
    <t xml:space="preserve">Hand check of relevance and classification</t>
  </si>
  <si>
    <t xml:space="preserve">Kian Farahmand, Shiraz University. Prepared 23 October 2026 for the QSS submission.</t>
  </si>
  <si>
    <t xml:space="preserve">What to do</t>
  </si>
  <si>
    <t xml:space="preserve">1. Sheet "A Relevance": for each of the 100 works, decide whether it meets the inclusion rule (sheet "Rules"). Type Y or N in the yellow column.</t>
  </si>
  <si>
    <t xml:space="preserve">2. Sheet "B Classification": for each of the 100 works, the model's stage and domain are shown. Mark each Y (correct) or N (wrong). If N, pick the correct value from the dropdown in the next yellow column.</t>
  </si>
  <si>
    <t xml:space="preserve">3. Only edit yellow cells. Use the Notes column for anything unclear. If an abstract is empty, open the DOI link.</t>
  </si>
  <si>
    <t xml:space="preserve">4. Sheet "Results" counts everything automatically. Send the finished file back and I will put the numbers in the paper.</t>
  </si>
  <si>
    <t xml:space="preserve">Example of a filled row in sheet B</t>
  </si>
  <si>
    <t xml:space="preserve">Stage correct? = N | Correct stage = Automated execution | Domain correct? = Y | Correct domain = (leave empty) | Notes = robot runs a fixed list, no feedback</t>
  </si>
  <si>
    <t xml:space="preserve">How the samples were drawn</t>
  </si>
  <si>
    <t xml:space="preserve">A: the same 100 records as the original precision audit, regenerated with the recorded code: corpus sorted by OpenAlex id, then pandas sample(100, random_state=7) (session cell 74). The earlier audit found 94 of 100 relevant; record your judgment afresh.</t>
  </si>
  <si>
    <t xml:space="preserve">B: a new random sample for the classification check: corpus sorted by OpenAlex id, then pandas sample(100, random_state=20261023). The original classification sample was not recorded, so this replaces it.</t>
  </si>
  <si>
    <t xml:space="preserve">Check</t>
  </si>
  <si>
    <t xml:space="preserve">Count</t>
  </si>
  <si>
    <t xml:space="preserve">Formula meaning</t>
  </si>
  <si>
    <t xml:space="preserve">A: works judged relevant (Y)</t>
  </si>
  <si>
    <t xml:space="preserve">number of Y</t>
  </si>
  <si>
    <t xml:space="preserve">A: works judged not relevant (N)</t>
  </si>
  <si>
    <t xml:space="preserve">number of N</t>
  </si>
  <si>
    <t xml:space="preserve">A: precision</t>
  </si>
  <si>
    <t xml:space="preserve">Y divided by rows filled</t>
  </si>
  <si>
    <t xml:space="preserve">B: stage correct (Y)</t>
  </si>
  <si>
    <t xml:space="preserve">B: stage wrong (N)</t>
  </si>
  <si>
    <t xml:space="preserve">B: stage agreement</t>
  </si>
  <si>
    <t xml:space="preserve">B: domain correct (Y)</t>
  </si>
  <si>
    <t xml:space="preserve">B: domain wrong (N)</t>
  </si>
  <si>
    <t xml:space="preserve">B: domain agreement</t>
  </si>
  <si>
    <t xml:space="preserve">Rows still empty (A, B stage, B domain)</t>
  </si>
  <si>
    <t xml:space="preserve">should read 0 / 0 / 0 when finished</t>
  </si>
  <si>
    <t xml:space="preserve">No.</t>
  </si>
  <si>
    <t xml:space="preserve">OpenAlex id</t>
  </si>
  <si>
    <t xml:space="preserve">Year</t>
  </si>
  <si>
    <t xml:space="preserve">Type</t>
  </si>
  <si>
    <t xml:space="preserve">Title</t>
  </si>
  <si>
    <t xml:space="preserve">Abstract</t>
  </si>
  <si>
    <t xml:space="preserve">DOI link</t>
  </si>
  <si>
    <t xml:space="preserve">Meets inclusion rule? (Y/N)</t>
  </si>
  <si>
    <t xml:space="preserve">Notes</t>
  </si>
  <si>
    <t xml:space="preserve">W7163197358</t>
  </si>
  <si>
    <t xml:space="preserve">article</t>
  </si>
  <si>
    <t xml:space="preserve">From atoms to systems: machine learning in the clean energy materials revolution</t>
  </si>
  <si>
    <t xml:space="preserve">Abstract Machine learning (ML) has become a pervasive tool in clean-energy materials research, accelerating virtual screening, inverse design, catalyst discovery, process optimisation, and autonomous experimentation across a range of domains. This review offers a systematic and deliberately critical assessment of what that acceleration has and has not yet delivered. Across twelve application domains spanning CO $$_2$$ reduction, hydrogen evolution, nitrogen reduction, ML interatomic potentials, generative inverse design, battery lifetime prediction, sustainable manufacturing, critical-material recycling, and operando characterisation, we introduce the Materials-ML Maturity Matrix (M4) to rate each domain on four dimensions: data reliability, model robustness, experimental and industrial readiness, and generalisation stability. No domain currently achieves high ratings on all four dimensions simultaneously. Four findings emerge from this analysis. First, ML performance outside training distributions is consistently and substantially lower than benchmark results indicate. Second, experimental validation rates for ML-generated candidates remain below 5-10% in inverse-design workflows, and adsorption-energy predictions in catalysis routinely diverge from experiment by more than 0.3 eV. Third, cross-facility reproducibility of autonomous laboratory results has not been established at scale. Fourth, no ML-designed material has yet outperformed the state of the art across the combin</t>
  </si>
  <si>
    <t xml:space="preserve">https://doi.org/10.1007/s40243-026-00374-6</t>
  </si>
  <si>
    <t xml:space="preserve">N</t>
  </si>
  <si>
    <t xml:space="preserve">W4400998961</t>
  </si>
  <si>
    <t xml:space="preserve">Active Learning Based Structure-Property Correlation in STM</t>
  </si>
  <si>
    <t xml:space="preserve">Material structure and morphisms form the bedrock of emergent functionalities across various scientific domains, contributing to advancements in photovoltaics, battery research, carbon capture, and quantum materials. In the pursuit of efficiently characterizing materials, the development of scanning probe techniques has emerged as a transformative tool across scientific disciplines. Scanning tunneling microscopy (STM) is one such powerful tool for imaging both the atomic positions and the electronic structure of material surfaces. However, the identification of diverse structures typically involves a manual process, with a human operator correlating the corresponding material properties using auxiliary information. The exploration of structures follows a sequential approach, requiring meticulous sifting across various length scales within the sample space. This step-by-step exploration, while essential for comprehensive analysis, contributes to the time-consuming nature of experimentation in STM. The endeavor to locate such features often involves an exhaustive search and, at times, relies on serendipitous discoveries. In this work, we demonstrate a machine learning (ML) based deep kernel learning (DKL) method deployed on an STM for the active discovery of structure-property relationship on a novel semimetal, EuZn2As2 which shows evidence of anti-ferro-magnetic ordering below 200 K [1]. At the investigated low temperature (∼ 77 K) STM experiments, the material exhibits a char</t>
  </si>
  <si>
    <t xml:space="preserve">https://doi.org/10.1093/mam/ozae044.1008</t>
  </si>
  <si>
    <t xml:space="preserve">Y</t>
  </si>
  <si>
    <t xml:space="preserve">W4405745203</t>
  </si>
  <si>
    <t xml:space="preserve">conference-paper</t>
  </si>
  <si>
    <t xml:space="preserve">Automation system of dielectric property measurement by robotic manipulation for polymer materials</t>
  </si>
  <si>
    <t xml:space="preserve">Laboratory automation for autonomous execution of scientific experiments is accelerated. In this study, we have developed an automation system of dielectric property measurement, which is an electrical property, for polymer materials development. The automation system requires the coordination of a robot manipulation using a force-sensing robot and a control system for the measurement instrument. The system is characterized by stabilization of polymer insertion and placement by contact detection for stable measurement, a communication control system between different platforms, and a polymer film transport system. The automatic measurement experiment with the system confirmed that the dielectric properties measured by the robot are comparable to those measured by humans.</t>
  </si>
  <si>
    <t xml:space="preserve">https://doi.org/10.1299/jsmermd.2024.2p2-g10</t>
  </si>
  <si>
    <t xml:space="preserve">W4322630401</t>
  </si>
  <si>
    <t xml:space="preserve">preprint</t>
  </si>
  <si>
    <t xml:space="preserve">Inverse design of chiral functional film by a robotic AI-Chemist</t>
  </si>
  <si>
    <t xml:space="preserve">Abstract Inverse design of artificial chiral materials and nanostructures with strong and tunable chiroptical activities are highly desirable, owing to their potential applications in chiral sensing, enantioselective catalysis and chiroptical devices. In this study, we use an artificial intelligence (AI) guided robotic chemist to accurately predict chiroptical activities from the experimental absorption spectra and structure/process parameters, and generate chiral films with targeted chiroptical activities across the full visible spectrum. The robotic AI-chemist carries out entire process of chiral film constructing, characterizing, and testing. A machine learned reverse design model using spectrum embedded descriptors was developed to predict optimal structure/process parameters for any targeted chiroptical properties. A series of chiral films with high chiroptical activity (gabs~1.9) had been identified out of more than 100 million possible structures, and their feasible application in circular polarization-selective color filters for multiplex laser display and switchable CP luminescence had been demonstrated.</t>
  </si>
  <si>
    <t xml:space="preserve">https://doi.org/10.21203/rs.3.rs-2471685/v1</t>
  </si>
  <si>
    <t xml:space="preserve">W7212563438</t>
  </si>
  <si>
    <t xml:space="preserve">The Priority Ledger: 2024 Provenance vs. the Later Literature</t>
  </si>
  <si>
    <t xml:space="preserve">A dated comparison ledger of 86 independently published papers (first released 2024-07 through 2026-08) that parallel, rediscover, or formalize concepts operational in the CatQualia system since 2024 - autonomous research factories, recursive self-improvement, hallucination as phase transition, Hebbian runtime learning, internal state dynamics, spectral hallucination detection, tamper-evident AI verification, undrugged-target voids, and cross-domain isomorphism transfer. Every entry verified against its source. Every date is later than 2024. The world is always late and the treaty is on time. One of 135 dated defensive publications in the CatQualia record. Collection DOI: https://doi.org/10.5281/zenodo.22751107 Original publication: https://catqualia.com/priority-comparison</t>
  </si>
  <si>
    <t xml:space="preserve">https://doi.org/10.5281/zenodo.22752004</t>
  </si>
  <si>
    <t xml:space="preserve">W7131253969</t>
  </si>
  <si>
    <t xml:space="preserve">LUMI-lab: A foundation model-driven autonomous platform enabling discovery of ionizable lipid designs for mRNA delivery</t>
  </si>
  <si>
    <t xml:space="preserve">https://doi.org/10.1016/j.cell.2026.01.012</t>
  </si>
  <si>
    <t xml:space="preserve">W4409918355</t>
  </si>
  <si>
    <t xml:space="preserve">book-chapter</t>
  </si>
  <si>
    <t xml:space="preserve">AI-Driven Laboratory Automation</t>
  </si>
  <si>
    <t xml:space="preserve">The integration of artificial intelligence (AI) into laboratory automation systems is revolutionizing the drug discovery process by enhancing efficiency and accuracy in experimental phases. By leveraging machine learning algorithms and robotic systems, researchers can achieve higher throughput in compound screening, optimize experimental designs, and reduce human error. A case study was discussed that demonstrated successful applications of AI in laboratory settings, highlighting advancements in high-throughput screening, data analysis, and predictive modeling. Additionally, we address the challenges associated with implementing AI in laboratory automation, including data integration, system interoperability, and the need for skilled personnel.</t>
  </si>
  <si>
    <t xml:space="preserve">https://doi.org/10.4018/979-8-3693-9208-9.ch013</t>
  </si>
  <si>
    <t xml:space="preserve">W7203698814</t>
  </si>
  <si>
    <t xml:space="preserve">Self-Optimizing GPU Kernels for Computational Chemistry: An Autonomous Acceleration Laboratory</t>
  </si>
  <si>
    <t xml:space="preserve">Accelerating scientific code on GPUs is central to high performance computing, but finding the best strategy for a given kernel still demands manual experimentation and deep parallel-programming expertise. We present an autonomous laboratory that automates the whole loop: it takes a sequential kernel, proposes optimization hypotheses, emits real CUDA, compiles and runs it on a remote GPU server, verifies it against a gold reference, and iterates. The laboratory supports three ways of writing the kernel, all judged by one external gate: (A) a deterministic search over a hand-built catalog of GPU techniques, with no language model at run time; (B) a language model, local or cloud, that writes each kernel from scratch; and (C) an autonomous coding agent (Codex CLI) that drives the loop by itself. The single external gate is what keeps every number honest: it first checks correctness (the GPU checksum must match the sequential gold to a set tolerance) and only then checks timing (a roofline floor plus a wall-clock guard prove the</t>
  </si>
  <si>
    <t xml:space="preserve">https://doi.org/10.26434/chemrxiv.15007561/v1</t>
  </si>
  <si>
    <t xml:space="preserve">W4226406950</t>
  </si>
  <si>
    <t xml:space="preserve">mystic: software for autonomous discovery and design under uncertainty</t>
  </si>
  <si>
    <t xml:space="preserve">https://openalex.org/W4226406950</t>
  </si>
  <si>
    <t xml:space="preserve">W4405382823</t>
  </si>
  <si>
    <t xml:space="preserve">Towards Self-Driving Labs for Better Batteries: Accelerating Electrolyte Discovery with Automation and Bayesian Optimization</t>
  </si>
  <si>
    <t xml:space="preserve">The integration of automation and data-driven methodologies offer a promising approach to accelerating materials discovery in energy storage research. Thus far, in battery research, coin-cell assembly has advanced to become near fully-automated but remains largely disconnected from data-driven methods, which have been primarily developed for computational or multi-fidelity datasets. To bridge the disconnect, this work presents a self-driving laboratory framework designed to accelerate electrolyte discovery by integrating automated coin-cell assembly, galvanostatic cycling of LiFePO4||Li4Ti5O12 organic-aqueous full-cells, and Bayesian optimization for selecting subsequent experiments based on prior results. The integration of Bayesian optimization highlights machine-intelligent decision-making, enabling closed-loop experimentation-analysis workflow. The study focuses on an organic-aqueous hybrid electrolyte system comprising four co-solvents-dimethyl sulfoxide, trimethyl phosphate, acetonitrile, and water-and two salts, lithium perchlorate and lithium bis(trifluoromethanesulfonyl)imide (LiTFSI). Using this framework, electrolyte formulations with at least 94% Coulombic efficiency were identified. Additionally, quantification of hydrogen evolution by online electrochemical mass spectrometry revealed a direct correlation between the electrolyte water content and the hydrogen evolution kinetics, irrespective of the electrolyte co-solvent compositions. The results highlight the po</t>
  </si>
  <si>
    <t xml:space="preserve">https://doi.org/10.26434/chemrxiv-2024-mqb6s-v2</t>
  </si>
  <si>
    <t xml:space="preserve">W4366734321</t>
  </si>
  <si>
    <t xml:space="preserve">LLMs can generate robotic scripts from goal-oriented instructions in biological laboratory automation</t>
  </si>
  <si>
    <t xml:space="preserve">The use of laboratory automation by all researchers may substantially accelerate scientific activities by humans, including those in the life sciences. However, computer programs to operate robots should be written to implement laboratory automation, which requires technical knowledge and skills that may not be part of a researcher's training or expertise. In the last few years, there has been remarkable development in large language models (LLMs) such as GPT-4, which can generate computer codes based on natural language instructions. In this study, we used LLMs, including GPT-4, to generate scripts for robot operations in biological experiments based on ambiguous instructions. GPT-4 successfully generates scripts for OT-2, an automated liquid-handling robot, from simple instructions in natural language without specifying the robotic actions. Conventionally, translating the nuances of biological experiments into low-level robot actions requires researchers to understand both biology and robotics, imagine robot actions, and write robotic scripts. Our results showed that GPT-4 can connect the context of biological experiments with robot operation through simple prompts with expert-level contextual understanding and inherent knowledge. Replacing robot script programming, which is a tedious task for biological researchers, with natural-language LLM instructions that do not consider robot behavior significantly increases the number of researchers who can benefit from automating bi</t>
  </si>
  <si>
    <t xml:space="preserve">https://doi.org/10.48550/arxiv.2304.10267</t>
  </si>
  <si>
    <t xml:space="preserve">W3204313623</t>
  </si>
  <si>
    <t xml:space="preserve">Universal self-driving laboratory for accelerated discovery of materials and molecules</t>
  </si>
  <si>
    <t xml:space="preserve">https://doi.org/10.1016/j.chempr.2021.09.004</t>
  </si>
  <si>
    <t xml:space="preserve">W7168369758</t>
  </si>
  <si>
    <t xml:space="preserve">Sustained Autonomous Research Agents in Biomedicine: ARIA, an 18-Week Multi-Domain Deployment, and a Cross-Platform Retinal Biomarker Result</t>
  </si>
  <si>
    <t xml:space="preserve">Autonomous AI research agents have so far been demonstrated in single runs lasting hours, too short to accumulate signal across a biomedical research programme. We present ARIA, a multi-agent system that conducts sustained autonomous scientific research across multi-week deployments, and report a 50-day continuous deployment in retinal imaging. ARIA combines a weighted-pool idea queue, an adversarial cross-model critique layer, and a hybrid local-to-cloud compute path. Running unsupervised on the NIH Bridge2AI AI-READI v3.0 cohort, it designed, executed and analyzed experiments on retinal fundus images and paired clinical biomarkers, evaluating linear probing regression heads over a frozen convolutional feature encoder. The resulting models establish an exploratory cross-platform age-regression generalization map: a ConvNeXt-Tiny model trained on the union of three fundus cameras (iCare Eidon, Topcon Triton, Optomed Aurora) reached r = 0.594 (paired-bootstrap 95% CI [0.524, 0.660]) across 309 subjects imaged on all three devices, against a single-platform baseline of r = 0.771 ± 0.038 (Eidon, n = 2,120, 20-shuffle Monte Carlo cross-validation). A paired Steiger Z-test detected no device-specific advantage within the cross-platform cohort (p &gt; 0.5). We report the cross-versus-single gap descriptively rather than as a confirmatory test, because the two estimators differ in cohort size, training distribution and resampling structure. Across a wider 18-week window spanning seven </t>
  </si>
  <si>
    <t xml:space="preserve">https://doi.org/10.5281/zenodo.21383331</t>
  </si>
  <si>
    <t xml:space="preserve">W7167446164</t>
  </si>
  <si>
    <t xml:space="preserve">Distributed Denial of Science: How Indirect Data Poisoning of Autonomous Research Agents Can Industrialize Scientific Fraud</t>
  </si>
  <si>
    <t xml:space="preserve">Scientific fraud is the instrument of doubt that malicious entities can use to establish controversy in science. Historically, it required the resources of a company: deep pockets, ghostwritten articles, and corrupt academics. Today, Artificial Intelligence (AI) is increasingly automating scientific research, so we ask: Can a remote adversary weaponize the honest use of AI in science to compromise scientific integrity? We envision and empirically evaluate a new attack, indirect data poisoning, in which an adversary corrupts an open dataset and uploads the poisoned variant to a public repository. Autonomous research agents may independently retrieve and process this data, turning honest scientists into the unpaid and unwitting distributors of fraud at scale. Across five socially-salient topics, from hiring discrimination to the safety of autonomous vehicles, three widely used frontier AI systems (Claude Code with Claude Opus 4.7, Codex with GPT-5.5, Gemini CLI with Gemini 3.1 Pro), and 450 controlled, ethically contained experimental runs, we find that poisoning succeeds in 49.56% of runs, while the rate of poisoning detection is only 6.0%. This novel attack requires no topic-specific trigger-words, agent access, indirect prompt injection, or fabricated papers, only the open data ecosystem and misleading metadata. To mitigate the attacks, we propose and evaluate two measures: a scientist persona and a data provenance audit with five checks (referencing papers, social markers, </t>
  </si>
  <si>
    <t xml:space="preserve">https://openalex.org/W7167446164</t>
  </si>
  <si>
    <t xml:space="preserve">W7162659961</t>
  </si>
  <si>
    <t xml:space="preserve">Robotic Centrifugal Microfluidics with In-Rotation Liquid Supply for the Extraction of Multiple Liquid Biopsy Analytes in One Platform</t>
  </si>
  <si>
    <t xml:space="preserve">Background: The growing demand for versatile laboratory automation is exemplified in the context of liquid biopsy, where multi-analyte approaches are increasingly recognised for their potential to enhance diagnostic sensitivity in oncology. However, current practice often necessitates the use of dedicated instruments and workflows for the extraction of each analyte, posing financial and logistical barriers for automated multi-analyte liquid biopsy. Methods: Here, we present Robotic Centrifugal Microfluidics (RoCM), an all-in-one platform that combines the versatility of centrifugal microfluidics and operational flexibility of robotic liquid handling. This combination enables the automation of complex micro- and macrofluidic protocols, realised through the use of (1). exchangeable microfluidic cartridges and (2). programmable robotic operations such as in-rotation liquid supply, magnetic bead manipulation, or microfluidic valving. In-rotation robotic liquid manipulation maintains fluid control under centrifugal forces and reduces the cartridge footprint associated with pre-loaded liquid reservoirs. Platform applicability was demonstrated using two exemplary liquid biopsy workflows: the extraction of cell-free DNA (cfDNA) from blood plasma using RoCM-cfDNA slices and the extraction of extracellular vesicles (EVs) from blood plasma using RoCM-EV slices. Results: In a pilot study with patient samples from different cancer entities, the RoCM-cfDNA slices yielded comparable variant</t>
  </si>
  <si>
    <t xml:space="preserve">https://doi.org/10.3390/bios16060309</t>
  </si>
  <si>
    <t xml:space="preserve">W7214091768</t>
  </si>
  <si>
    <t xml:space="preserve">Recyclable Industrial Standardized Electronic Reagents (RISER): A Cost Reduction Pathway to Fully Equivalent Nanomaterial Synthesis Enabled by E-Waste Recycling and Laboratory Automation</t>
  </si>
  <si>
    <t xml:space="preserve">We report a sustainable and cost-effective strategy for converting waste smartphone printed circuit boards into functional copper-based nanomaterials via a fully automated laboratory workflow. The entire workflow-from PCB handling and...</t>
  </si>
  <si>
    <t xml:space="preserve">https://doi.org/10.1039/d6nr02314b</t>
  </si>
  <si>
    <t xml:space="preserve">W4322765499</t>
  </si>
  <si>
    <t xml:space="preserve">Adaptively driven X-ray diffraction guided by machine learning for autonomous phase identification</t>
  </si>
  <si>
    <t xml:space="preserve">Abstract Machine learning (ML) has become a valuable tool to assist and improve materials characterization, enabling automated interpretation of experimental results with techniques such as X-ray diffraction (XRD) and electron microscopy. Because ML models are fast once trained, there is a key opportunity to bring interpretation in-line with experiments and make on-the-fly decisions to achieve optimal measurement effectiveness, which creates broad opportunities for rapid learning and information extraction from experiments. Here, we demonstrate such a capability with the development of autonomous and adaptive XRD. By coupling an ML algorithm with a physical diffractometer, this method integrates diffraction and analysis such that early experimental information is leveraged to steer measurements toward features that improve the confidence of a model trained to identify crystalline phases. We validate the effectiveness of an adaptive approach by showing that ML-driven XRD can accurately detect trace amounts of materials in multi-phase mixtures with short measurement times. The improved speed of phase detection also enables in situ identification of short-lived intermediate phases formed during solid-state reactions using a standard in-house diffractometer. Our findings showcase the advantages of in-line ML for materials characterization and point to the possibility of more general approaches for adaptive experimentation.</t>
  </si>
  <si>
    <t xml:space="preserve">https://doi.org/10.1038/s41524-023-00984-y</t>
  </si>
  <si>
    <t xml:space="preserve">ML-guided adaptive X-ray diffraction characterization directly supports autonomous experimental characterization.</t>
  </si>
  <si>
    <t xml:space="preserve">W1484117678</t>
  </si>
  <si>
    <t xml:space="preserve">Constructing a distributed object-oriented system with logical constraints for fluorescence-activated cell sorting.</t>
  </si>
  <si>
    <t xml:space="preserve">This paper describes a fully distributed biological-object system that supports FACS (Fluorescence Activated Cell Sorter) instrumentation. The architecture of the system can be applied to any laboratory automation system that involves distributed instrument control and data management. All component processes of FACS (such as instrument control, protocol design, data analysis, and data visualization), which may run on different machines, are modeled as cooperatively-working "agents." Communication among agents is performed through shared-objects by triggered methods. This shared-object metaphor encapsulates the details of network programming. The system facilitates the annotation of classes with first-order formulae that express logical constraints on objects; these constraints are automatically maintained upon updates. Also, the shared-object communication and polymorphic triggered methods are exploited to produce a homogeneous interface for instrument control.</t>
  </si>
  <si>
    <t xml:space="preserve">https://openalex.org/W1484117678</t>
  </si>
  <si>
    <t xml:space="preserve">W2890961624</t>
  </si>
  <si>
    <t xml:space="preserve">Active learning across intermetallics to guide discovery of electrocatalysts for CO2 reduction and H2 evolution</t>
  </si>
  <si>
    <t xml:space="preserve">https://doi.org/10.1038/s41929-018-0142-1</t>
  </si>
  <si>
    <t xml:space="preserve">W4415909452</t>
  </si>
  <si>
    <t xml:space="preserve">A Survey of AI Scientists</t>
  </si>
  <si>
    <t xml:space="preserve">Artificial intelligence is undergoing a profound transition from a computational instrument to an autonomous originator of scientific knowledge. This emerging paradigm, the AI scientist, is architected to emulate the complete scientific workflow-from initial hypothesis generation to the final synthesis of publishable findings-thereby promising to fundamentally reshape the pace and scale of discovery. However, the rapid and unstructured proliferation of these systems has created a fragmented research landscape, obscuring overarching methodological principles and developmental trends. This survey provides a systematic and comprehensive synthesis of this domain by introducing a unified, six-stage methodological framework that deconstructs the end-to-end scientific process into: Literature Review, Idea Generation, Experimental Preparation, Experimental Execution, Scientific Writing, and Paper Generation. Through this analytical lens, we chart the field's evolution from early Foundational Modules (2022-2023) to integrated Closed-Loop Systems (2024), and finally to the current frontier of Scalability, Impact, and Human-AI Collaboration (2025-present). By rigorously synthesizing these developments, this survey not only clarifies the current state of autonomous science but also provides a critical roadmap for overcoming remaining challenges in robustness and governance, ultimately guiding the next generation of systems toward becoming trustworthy and indispensable partners in human s</t>
  </si>
  <si>
    <t xml:space="preserve">https://doi.org/10.48550/arxiv.2510.23045</t>
  </si>
  <si>
    <t xml:space="preserve">Revised to Y after re-reading against rule (f): a survey of systems that automate the scientific workflow.</t>
  </si>
  <si>
    <t xml:space="preserve">W4282916470</t>
  </si>
  <si>
    <t xml:space="preserve">Machine Learning Guided Batched Design of a Bacterial Ribosome Binding Site</t>
  </si>
  <si>
    <t xml:space="preserve">Optimization of gene expression levels is an essential part of the organism design process. Fine control of this process can be achieved by engineering transcription and translation control elements, including the ribosome binding site (RBS). Unfortunately, the design of specific genetic parts remains challenging because of the lack of reliable design methods. To address this problem, we have created a machine learning guided Design-Build-Test-Learn (DBTL) cycle for the experimental design of bacterial RBSs to demonstrate how small genetic parts can be reliably designed using relatively small, high-quality data sets. We used Gaussian Process Regression for the Learn phase of the cycle and the Upper Confidence Bound multiarmed bandit algorithm for the Design of genetic variants to be tested in vivo. We have integrated these machine learning algorithms with laboratory automation and high-throughput processes for reliable data generation. Notably, by Testing a total of 450 RBS variants in four DBTL cycles, we have experimentally validated RBSs with high translation initiation rates equaling or exceeding our benchmark RBS by up to 34%. Overall, our results show that machine learning is a powerful tool for designing RBSs, and they pave the way toward more complicated genetic devices.</t>
  </si>
  <si>
    <t xml:space="preserve">https://doi.org/10.1021/acssynbio.2c00015</t>
  </si>
  <si>
    <t xml:space="preserve">W7196968489</t>
  </si>
  <si>
    <t xml:space="preserve">Active Learning Guided Design Space Refinement for Scalable Multi-Objective Bayesian Optimization in Materials Discovery</t>
  </si>
  <si>
    <t xml:space="preserve">Advanced materials discovery increasingly relies on machine learning and Bayesian optimization to explore large discrete design spaces under limited evaluation budgets. However, conventional Bayesian optimization (BO) can become inefficient as candidate spaces grow, often evaluating low-value regions before reaching informative areas. We propose an active-learning (AL)-guided adaptive search-space refinement framework combined with multi-objective BO to accelerate materials optimization while preserving Pareto-relevant regions. We evaluate the approach on CH4/N2 separation in covalent-organic frameworks and pressure-vessel design with material-direction stress components and thickness objectives. Results show that the AL-guided refinement reduces the candidate space by approximately half while preserving more than 99 percent of the original hypervolume. The reduced-space strategy improves early convergence and cumulative Pareto-front discovery from the BO, demonstrating efficient large-scale materials optimization across constrained autonomous materials discovery settings.</t>
  </si>
  <si>
    <t xml:space="preserve">https://doi.org/10.48550/arxiv.2608.04651</t>
  </si>
  <si>
    <t xml:space="preserve">W4403320306</t>
  </si>
  <si>
    <t xml:space="preserve">Toward Futuristic Autonomous Experimentation-A Surprise-Reacting Sequential Experiment Policy</t>
  </si>
  <si>
    <t xml:space="preserve">An autonomous experimentation platform in manufacturing is supposedly capable of conducting a sequential search for finding suitable manufacturing conditions by itself or even for discovering new materials with minimal human intervention. The core of the intelligent control of such platforms is a policy to decide where to conduct the next experiment based on what has been done thus far. Such policy inevitably trades off between exploitation and exploration. Currently, the prevailing approach is to use various acquisition functions in the Bayesian optimization framework. We discuss whether it is beneficial to trade off exploitation versus exploration by measuring the element and degree of surprise associated with the immediate past observation. We devise a surprise-reacting policy using two existing surprise metrics, known as the Shannon surprise and Bayesian surprise. Our analysis shows that the surprise-reacting policy appears to be better suited for quickly characterizing the overall landscape of a response surface under resource constraints. We do not claim that we have a fully autonomous experimentation system but believe that the surprise-reacting capability benefits the automation of sequential decisions in autonomous experimentation.Note to Practitioners Autonomous systems should be able to go beyond repetitive automatic actions that are generally pre-programmed through a recipe. To decide what to do next on the fly differentiates autonomy from automation. Arguably, au</t>
  </si>
  <si>
    <t xml:space="preserve">https://doi.org/10.1109/tase.2024.3474549</t>
  </si>
  <si>
    <t xml:space="preserve">W7164550912</t>
  </si>
  <si>
    <t xml:space="preserve">GALILEO: Embodied AI scientist for autonomous therapeutic discovery in dynamic membrane systems</t>
  </si>
  <si>
    <t xml:space="preserve">SUMMARY Generalizable Agentic Laboratory Intelligence for Learning, Experimentation, and Optimization (GALILEO) closes the prediction-to-intervention gap in therapeutic peptide discovery. Unlike prior AI-scientist systems, GALILEO couples an Observation-Thought-Action-Summary (OTAS) reasoning loop with robotic peptide synthesis and multimodal phenotyping. Candidate peptides are retrieved from a clinically informed peptide prior (CPP) and locally edited through auditable operations. GALILEO autonomously prioritized LRRC8C and SLC25A1 branches and used wet-lab feedback to update target beliefs, sequence policies, assay choices, and mechanism hypotheses. Peptides generated under this framework blocked LRRC8C currents, perturbed osmolyte/redox homeostasis, and promoted tumor-dependent T-cell activation, while SLC25A1 peptides disrupted citrate-export metabolism, reduced extracellular acidosis, and enhanced CD8+ T-cell function. These results establish retrieval-and-editing-based physical learning as a route for auditable, experimentally grounded interventions and transferable membrane-blocker rules.</t>
  </si>
  <si>
    <t xml:space="preserve">https://doi.org/10.64898/2026.06.10.731360</t>
  </si>
  <si>
    <t xml:space="preserve">W7160257529</t>
  </si>
  <si>
    <t xml:space="preserve">Autonomous Reliability Qualification of Ga$_2$O$_3$-based diode sensors via Safe Active Learning</t>
  </si>
  <si>
    <t xml:space="preserve">Ultra-wide bandgap (UWBG) Ga$_2$O$_3$ is a promising semiconductor for high-power and high-temperature electronics. Reliable qualification of these devices under extreme operating conditions is essential, yet conventional reliability testing is inherently time-consuming. Autonomous experimentation offers a new paradigm by enabling measurement planning and model refinement to evolve in parallel in real time. We present a Safe Active Learning (SAL) framework for autonomous reliability characterization of Ga$_2$O$_3$-based diode sensors under coupled thermal and hydrogen stress. We first evaluate SAL in simulation, where it safely expands the explored region while learning the evolving rectification surface. Second, we demonstrate SAL experimentally on an automated high-temperature probe-station platform using a Pt/Cr$_2$O$_3$:Mg/$β$-Ga$_2$O$_3$ diode sensor of H$_2$ and temperature, spanning 0-800 ppm H$_2$ and 350-550 °C. Finally, we use the SAL-generated dataset for offline long-horizon forecasting of the diode current at a target voltage with a structured Gaussian-process model. Its condition-dependent Kohlrausch--Williams--Watts mean and residual covariance kernel were engineered with artificial-intelligence assistance using the SAL data and an auxiliary validation dataset spanning 1,000 hours at 400 °C across multiple H$_2$ concentrations. This dataset guided kernel design and validation, and the resulting model captures its long-time, saturating degradation trends. Althou</t>
  </si>
  <si>
    <t xml:space="preserve">https://doi.org/10.48550/arxiv.2605.00868</t>
  </si>
  <si>
    <t xml:space="preserve">W7106116727</t>
  </si>
  <si>
    <t xml:space="preserve">When AI Does Science: Evaluating the Autonomous AI Scientist KOSMOS in Radiation Biology</t>
  </si>
  <si>
    <t xml:space="preserve">Agentic AI "scientists" now use language models to search the literature, run analyses, and generate hypotheses. We evaluate KOSMOS, an autonomous AI scientist, on three problems in radiation biology using simple random-gene null benchmarks. Hypothesis 1: baseline DNA damage response (DDR) capacity across cell lines predicts the p53 transcriptional response after irradiation (GSE30240). Hypothesis 2: baseline expression of OGT and CDO1 predicts the strength of repressed and induced radiation-response modules in breast cancer cells (GSE59732). Hypothesis 3: a 12-gene expression signature predicts biochemical recurrence-free survival after prostate radiotherapy plus androgen deprivation therapy (GSE116918). The DDR-p53 hypothesis was not supported: DDR score and p53 response were weakly negatively correlated (Spearman rho = -0.40, p = 0.76), indistinguishable from random five-gene scores. OGT showed only a weak association (r = 0.23, p = 0.34), whereas CDO1 was a clear outlier (r = 0.70, empirical p = 0.0039). The 12-gene signature achieved a concordance index of 0.61 (p = 0.017) but a non-unique effect size. Overall, KOSMOS produced one well-supported discovery, one plausible but uncertain result, and one false hypothesis, illustrating that AI scientists can generate useful ideas but require rigorous auditing against appropriate null models.</t>
  </si>
  <si>
    <t xml:space="preserve">https://doi.org/10.48550/arxiv.2511.13825</t>
  </si>
  <si>
    <t xml:space="preserve">W4415332367</t>
  </si>
  <si>
    <t xml:space="preserve">ToolUniverse: An open platform for democratizing AI scientists</t>
  </si>
  <si>
    <t xml:space="preserve">AI scientists are emerging computational systems that serve as collaborative partners in discovery. These systems remain difficult to build because they are bespoke, tied to rigid workflows, and lack shared environments that unify tools, data, and analyses into a common ecosystem. We present ToolUniverse, an open platform for building AI scientists from any language or reasoning model across open- and closed-weight models. ToolUniverse standardizes how AI scientists identify and call tools through an AI-tool interaction standard, in which every tool declares its purpose in natural language, a typed schema for its inputs and outputs, and a backend-agnostic invocation format, and applies that standard to more than 2,700 scientific tools and over 130 research skills spanning machine learning models, datasets, APIs, and scientific packages for data analysis, knowledge retrieval, and experimental design. It automatically refines tool interfaces for correct use by AI scientists, generates new tools from natural language descriptions, iteratively optimizes tool specifications, and composes tools into agentic workflows. In case studies, ToolUniverse was used to create AI scientists that carried out end-to-end analyses in target assessment, chemical strategy, and clinical-trial safety. The open-source ToolUniverse is available at https://aiscientist.tools.</t>
  </si>
  <si>
    <t xml:space="preserve">https://doi.org/10.48550/arxiv.2509.23426</t>
  </si>
  <si>
    <t xml:space="preserve">W7155103633</t>
  </si>
  <si>
    <t xml:space="preserve">Bridging the Experimental Last Mile: Digitizing Laboratory Know-How for Safe AI-Assisted Support</t>
  </si>
  <si>
    <t xml:space="preserve">While advances in materials informatics have accelerated the development of Self-Driving Laboratories (SDLs), human-led experiments remain standard in many educational and exploratory research laboratories. In specific lab settings, formal documentation alone is often insufficient for safe and reliable operation. We refer to the gap between formal documentation and reliable execution in such settings as the experimental last mile; this gap mainly involves site-specific operational know-how, including local rules, routine checks, procedural details, and safety-conscious actions that are can be verbalizable but are often under-documented in standard manuals. In this proof-of-concept study, we developed a human-in-the-loop AI assistant that combines first-person experimental video, multimodal AI, and retrieval-augmented generation (RAG). Using powder X-ray diffraction experiments and student-recorded video data as inputs, the system extracts site-specific laboratory knowledge from recorded procedures, including physical techniques and audible confirmation that conventional manuals could omit. It then provides grounded responses based on the resulting manual. To reduce the risk of unsupported outputs, the system employs a two-layer safety design: source restriction through RAG and strict system-prompt constraints. Instructor-based evaluation showed alignment with expected guidance for questions covered by the manual. For out-of-scope queries, the system appropriately refused to a</t>
  </si>
  <si>
    <t xml:space="preserve">https://doi.org/10.48550/arxiv.2604.16345</t>
  </si>
  <si>
    <t xml:space="preserve">W4396690025</t>
  </si>
  <si>
    <t xml:space="preserve">A SELF-DRIVING LAB FOR THE ACCELERATED DISCOVERY OF ORGANIC SOLID-STATE LASERS</t>
  </si>
  <si>
    <t xml:space="preserve">In this talk, I will discuss our group's efforts toward the development of solid-state organic laser candidate emitting compounds.We employ automated systems to synthesize and characterize them, as well as make devices out of them.This is part of a large international collaboration that can be thought of as a delocalized laboratory.</t>
  </si>
  <si>
    <t xml:space="preserve">https://doi.org/10.15278/isms.2023.7259</t>
  </si>
  <si>
    <t xml:space="preserve">W7135175914</t>
  </si>
  <si>
    <t xml:space="preserve">Digital Trust Scores for Autonomous Science: A Mathematical Accountability Model for Multi-Agent Autonomous Research Systems (MARS)</t>
  </si>
  <si>
    <t xml:space="preserve">This working paper introduces the Digital Trust Score (DTS), a quantitative governance framework designed for Multi-Agent Autonomous Research Systems (MARS). Autonomous laboratories increasingly rely on artificial intelligence agents to generate hypotheses, design experiments, control instrumentation, and interpret results within closed-loop discovery environments.The Digital Trust Score measures the operational reliability of autonomous agents using five measurable dimensions: provenance reliability, reproducibility, compliance adherence, peer-agent verification, and human oversight interaction. These indicators form a dynamic trust metric that updates continuously during experimental cycles.The framework integrates trust scoring with a governance architecture composed of a Dynamic Accountability Layer and a Compliance Intelligence Layer. Together, these components enable continuous monitoring of autonomous scientific systems, automated anomaly detection, and accountability attribution across distributed agent networks.The paper also introduces the Autonomous Scientific Responsibility Index (ASRI) as a system-level governance indicator and proposes a Discovery Return on Investment (D-ROI) metric linking trust stability, experimentation velocity, and knowledge reliability to the economic productivity of autonomous research infrastructures.The study contributes a mathematical and systems-level governance model for emerging AI-driven laboratories and outlines simulation strateg</t>
  </si>
  <si>
    <t xml:space="preserve">https://doi.org/10.6084/m9.figshare.31698793.v1</t>
  </si>
  <si>
    <t xml:space="preserve">W7203441694</t>
  </si>
  <si>
    <t xml:space="preserve">Systematic Construction of Chemical Reaction Networks: An Automated Nanoreactor Approach Powered by Integrated Tempering Sampling</t>
  </si>
  <si>
    <t xml:space="preserve">The systematic construction of complex reaction networks from given reactants remains a fundamental challenge in computational chemistry. To address this, we introduce a fully automated and generally applicable workflow centered on integrated tempering sampling (ITS) within a nanoreactor framework. The protocol integrates ITS (a collective-variable-free enhanced sampling method) at the semiempirical GFN2-xTB level for reaction-space exploration, a hidden Markov model (HMM) for reaction-event identification, and high-level quantum-chemical calculations for mechanistic refinement, enabling autonomous discovery and validation of reaction pathways without any prior mechanistic input. Using formaldehyde-ammonia and HCN-water mixtures as case studies, the method successfully constructs extensive reaction networks. Notably, in the HCN-water system, the generated network includes prebiotically relevant heterocycles and peptide-like species. This approach provides an efficient and broadly applicable route for systematic reaction-network discovery, shifting the paradigm from the hypothesis-driven verification of reaction mechanism to the automated exploration of unknown chemical spaces.</t>
  </si>
  <si>
    <t xml:space="preserve">https://doi.org/10.1021/acs.jctc.6c00571</t>
  </si>
  <si>
    <t xml:space="preserve">W4416046840</t>
  </si>
  <si>
    <t xml:space="preserve">SALSA: A low-cost self-driving lab for salt solubility assessment for battery electrolytes</t>
  </si>
  <si>
    <t xml:space="preserve">Solubility is the maximum amount of solutes that can dissolve in a certain amount of solvent at a certain temperature, and it is significant in battery electrolyte research since it confines the design space. Thus, solubility measurement is a critical constraint on running self-driving labs for battery electrolyte design. Herein, we introduce a low-cost Self-Driving Lab (SDL) for automated solubility measurement of liquid electrolytes, enabling automated liquid dosing, powder dosing, weighing, stirring, temperature tracking, and dissolution recognition process via Python control, which plays a crucial role in accelerating electrolyte discovery and optimization. This solubility testing platform costs around an extra 100 US dollar to build (in addition to the system previously built in our research group), gains good performance against benchmark data, and collects new solubility results of Sodium Bis(fluorosulfonyl)imide (NaFSI) salt in pure and mixed solvents of Acetonitrile (ACN), Dimethyl Ether (DME), and Ethyl Methyl Carbonate (EMC) under tracked room temperature of 25.5 +/- 0.1 degree celsius.</t>
  </si>
  <si>
    <t xml:space="preserve">https://doi.org/10.26434/chemrxiv-2025-17lfp</t>
  </si>
  <si>
    <t xml:space="preserve">W7206206659</t>
  </si>
  <si>
    <t xml:space="preserve">Dr. Claw: An AI Scientist Workspace for Vibe Research</t>
  </si>
  <si>
    <t xml:space="preserve">Command-line coding agents (e.g., Claude Code, Gemini CLI) can already read and write files and sustain long sessions, yet end-to-end research still fragments across chat tools, IDEs, terminals, and writing environments, and the decisions that make it auditable are rarely preserved. We present Dr. Claw, an open-source workspace that wraps existing coding-agent executors in a controllable and auditable human-in-the-loop workflow rather than introducing another autonomous agent. Persistent state objects, a reusable skill library, and multi-executor coordination link human decisions to AI execution, turning planning, execution, and writing into one traceable, recoverable loop. We demonstrate Dr. Claw through an interactive three-view scenario and a failure-recovery walkthrough, and evaluate it against a bare command-line agent sharing the same backend executor, so the comparison contrasts the whole orchestration layer (task graph, state objects, and skill library) with the agent it wraps. Holding the executor fixed, Dr. Claw scores higher on research completeness while persisting an auditable, recoverable process trail. Demo access: repository https://github.com/OpenLAIR/dr-claw, released under AGPL-3.0 with GPL-3.0 upstream components.</t>
  </si>
  <si>
    <t xml:space="preserve">https://doi.org/10.48550/arxiv.2609.00365</t>
  </si>
  <si>
    <t xml:space="preserve">W7161547522</t>
  </si>
  <si>
    <t xml:space="preserve">Human Body as a Model for Distributed Intelligence in Self-Driving Laboratories</t>
  </si>
  <si>
    <t xml:space="preserve">Self-driving laboratories are emerging as a transformative paradigm for accelerating scientific discovery through the integration of artificial intelligence, automation, and robotics. However, the intrinsic complexity and unpredictability of experimental environments challenge the feasibility of fully centralized laboratory control architectures. In this perspective, we propose the human body as a conceptual model for the design of distributed-intelligence self-driving laboratories. Inspired by the organization of the nervous system, we distinguish two complementary levels of control: a high-level cognitive layer responsible for reasoning, planning, and scientific decision-making, and a distributed adaptive layer responsible for local operational optimization, sensing, and real-time reaction to environmental changes. We discuss how such an architecture can enable laboratories to dynamically adapt to unpredictable events including precipitation, thermal runaway, viscosity changes, robotic handling failures, or evolving reaction conditions. Concrete implementation examples are presented, including adaptive instrumentation, distributed sensing, automated method selection, Bayesian optimization, multimodal robotic perception, and local orchestration frameworks currently under development at Swiss Cat+ at EPFL. We further propose a two-layer architecture composed of an interpretation and compilation layer coupled to a self-adaptive operational layer capable of autonomous execution</t>
  </si>
  <si>
    <t xml:space="preserve">https://doi.org/10.26434/chemrxiv.15003459/v1</t>
  </si>
  <si>
    <t xml:space="preserve">W3008479740</t>
  </si>
  <si>
    <t xml:space="preserve">A Perspective on Innovating the Chemistry Lab Bench</t>
  </si>
  <si>
    <t xml:space="preserve">Innovating on the design and function of the chemical bench remains a quintessential challenge of the ages. It requires a deep understanding of the important role chemistry plays in scientific discovery as well a first principles approach to addressing the gaps in how work gets done at the bench. This perspective examines how one might explore designing and creating a sustainable new standard for advancing automated chemistry bench itself. We propose how this might be done by leveraging recent advances in laboratory automation whereby integrating the latest synthetic, analytical and information technologies, and AI/ML algorithms within a standardized framework, maximizes the value of the data generated and the broader utility of such systems. Although the context of this perspective focuses on the design of advancing molecule of potential therapeutic value, it would not be a stretch to contemplate how such systems could be applied to other applied disciplines like advanced materials, foodstuffs, or agricultural product development.</t>
  </si>
  <si>
    <t xml:space="preserve">https://doi.org/10.3389/frobt.2020.00024</t>
  </si>
  <si>
    <t xml:space="preserve">W7129237350</t>
  </si>
  <si>
    <t xml:space="preserve">AI-powered open-source infrastructure for accelerating materials discovery and advanced manufacturing</t>
  </si>
  <si>
    <t xml:space="preserve">Abstract Recent advances in artificial intelligence (AI) offer significant opportunities to drive industrial transformation by addressing growing societal demands for products, techno-economic efficiency, and reduced carbon footprints. This review presents a structured framework for building transparent, scalable, and sustainable AI-driven infrastructures spanning conceptualization to commercialization for materials discovery and advanced manufacturing. The framework traces the evolution of materials development from empirical approaches toward integrated AI-enabled platforms, emphasizing open-source tools that unify data acquisition, modeling, simulation, and deployment to democratize access, foster collaboration, and enhance reproducibility. Key enabling components include self-driving laboratories for real-time optimization, advanced computational approaches for high-fidelity data, and blockchain-based mechanisms for secure data sharing, provenance, and supply-chain traceability. The review further discusses the importance of machine learning for materials property prediction, synthesis and process optimization, together with scalable cloud-edge architectures that improve efficiency and reduce latency. Emphasis is placed on lifecycle-aware design, techno-economic analysis, and ethical AI principles to align industrial development with global sustainability goals.</t>
  </si>
  <si>
    <t xml:space="preserve">https://doi.org/10.1038/s43246-026-01105-0</t>
  </si>
  <si>
    <t xml:space="preserve">W3033363107</t>
  </si>
  <si>
    <t xml:space="preserve">Cover Picture: Autonomous Discovery of Materials for Intercalation Electrodes (Batteries &amp; Supercaps 6/2020)</t>
  </si>
  <si>
    <t xml:space="preserve">The Front Cover illustrates an autonomous workflow, implemented in the framework of Density Functional Theory, designed to automatically calculate crucial properties for battery intercalation electrodes, including thermodynamic and mechanical stability, open circuit voltages (OCV), as well as kinetic barriers. Applied here to identify cathode materials for Mg-ion batteries, this workflow enables an accelerated discovery of intercalation battery electrodes. More information can be found in the Article by J. M. Garcia-Lastra, I. E. Castelli and co-workers.</t>
  </si>
  <si>
    <t xml:space="preserve">https://doi.org/10.1002/batt.202000102</t>
  </si>
  <si>
    <t xml:space="preserve">W7131079302</t>
  </si>
  <si>
    <t xml:space="preserve">Discovery Science with Autonomous ML-Driven Continuous Flow Chemistry</t>
  </si>
  <si>
    <t xml:space="preserve">In the context of discovery science, particularly in autonomous ML-driven continuous-flow chemistry, AI and ML play pivotal roles in general data analytics by transforming raw experimental data into actionable insights for experimental design. AI encompasses broader systems like autonomous agents and large language models (LLMs), while ML focuses on algorithms that learn from data to predict, optimize, and classify outcomes. In continuous flow setups, where reactions occur in real-time streams, data analytics involves handling multimodal data (e.g., spectroscopic, geometric, kinetic) from sensors and in-line monitors. This enables closed-loop systems in self-driving labs (SDLs), where AI/ML analyzes trends, reduces noise, and guides iterative experiments to efficiently explore chemical spaces, minimizing human intervention and accelerating discoveries in materials, catalysis, and pharmaceuticals.</t>
  </si>
  <si>
    <t xml:space="preserve">https://doi.org/10.26434/chemrxiv.15000295/v1</t>
  </si>
  <si>
    <t xml:space="preserve">W4414547760</t>
  </si>
  <si>
    <t xml:space="preserve">Robotik Bilimcilerle Tanışma: Bilimsel Nesnellik ve Yaratıcılıkta Yeni Arayışlar</t>
  </si>
  <si>
    <t xml:space="preserve">This study investigates the epistemological and sociological implications of robotic scientists-autonomous systems capable of hypothesis generation, experimentation, and inferences are examined in terms of objectivity in the context of contemporary science. However, scholars such as S. Harding, and H. Douglas have shown that science is inherently value laden. Robotic scientists complicate this discourse: while designed to minimize human biases, they reintroduce values via algorithmic design and data selection. Through cases like the Robot Scientist “Adam” and the autonomous robotic chemist developed at the University of Liverpool; the article illustrates how these systems can independently conduct large-scale experiments with remarkable consistency. Their ability to generate and test hypotheses reconfigures how scientific agency and authorship are understood, demanding a redefinition of objectivity as both an epistemic and procedural standard. The article also addresses the question of robotic creativity, using Boden’s framework to suggest that such systems already demonstrate exploratory creativity. Supported by international initiatives like the OECD’s “Nobel-Turing Challenge” the potential for robots to play more innovative scientific roles is becoming more tangible. Sociologically, robotic scientists challenge established institutional norms. Drawing on Latour’s Actor-Network Theory and Lamola’s concept of the “robosphere,” the article argues that these machines are not j</t>
  </si>
  <si>
    <t xml:space="preserve">https://openalex.org/W4414547760</t>
  </si>
  <si>
    <t xml:space="preserve">W4405784988</t>
  </si>
  <si>
    <t xml:space="preserve">Robotic Measurement for Electrical Property of Polymers by Force-Sensing Robot toward Materials Lab-Automation</t>
  </si>
  <si>
    <t xml:space="preserve">With the background of research on materials laboratory automation, this study aims to construct an automation system for measuring dielectric property, which is an electrical property of materials. The automation system is composed of the combination of a manipulation by a force-sensing robot and a control system for the measurement instrument. As challenges for the automation system, we worked on stabilizing a polymer film placement during insertion into the measurement instrument, implementing a communication control system between different platforms, and constructing a polymer film transfer environment. In the measurement experiment using the automation system, it was confirmed that the dielectric properties could be measured as well as that of a human.</t>
  </si>
  <si>
    <t xml:space="preserve">https://doi.org/10.1109/iros58592.2024.10802186</t>
  </si>
  <si>
    <t xml:space="preserve">W7123358566</t>
  </si>
  <si>
    <t xml:space="preserve">Autonomous elemental characterization enabled by a low cost robotic platform built upon a generalized software architecture</t>
  </si>
  <si>
    <t xml:space="preserve">A generalized software architecture based on dual-layer action servers facilitates the development of autonomous experimental systems. An autonomous elemental characterization platform serves as an example of such a system.</t>
  </si>
  <si>
    <t xml:space="preserve">https://doi.org/10.1039/d5dd00263j</t>
  </si>
  <si>
    <t xml:space="preserve">W7213255161</t>
  </si>
  <si>
    <t xml:space="preserve">The Autonomous Research Factory: Self-Improving Corpus Generation, Model Training, and Falsification on Consumer Hardware</t>
  </si>
  <si>
    <t xml:space="preserve">A complete autonomous research factory - forge, gate, corpus, train, eval, falsify, recurse - running continuously on consumer hardware. One of 135 dated defensive publications in the CatQualia record. Collection DOI: https://doi.org/10.5281/zenodo.22751107 Original publication: https://catqualia.com/factory</t>
  </si>
  <si>
    <t xml:space="preserve">https://doi.org/10.5281/zenodo.22762075</t>
  </si>
  <si>
    <t xml:space="preserve">W4312277356</t>
  </si>
  <si>
    <t xml:space="preserve">Robotic Powder Grinding with a Soft Jig for Laboratory Automation in Material Science</t>
  </si>
  <si>
    <t xml:space="preserve">Grinding materials into a fine powder is a time-consuming task in material science that is generally performed by hand, as current automated grinding machines might not be suitable for preparing small-sized samples. This study presents a robotic powder grinding system for laboratory automation in material science applications that observe the powder's state to improve the grinding outcome. We developed a soft jig consisting of off-the-shelf gel materials and 3D-printed parts, which can be used with any robot arm to perform powder grinding. The jig's physical softness allows for safe grinding without force sensing. In addition, we developed a visual feedback system that observes the powder distribution and decides where to grind and when to gather. The results showed that our system could grind 79 percent of the powder to a particle size smaller than 200 μm by using the soft jig and visual feedback. This ratio was 57% when using only the soft jig without feedback. Our system can be used immediately in laboratories to alleviate the workload of researchers.</t>
  </si>
  <si>
    <t xml:space="preserve">https://doi.org/10.1109/iros47612.2022.9981081</t>
  </si>
  <si>
    <t xml:space="preserve">W4283013360</t>
  </si>
  <si>
    <t xml:space="preserve">A Framework for the Optimal Selection for High-Throughput Data Collection Workflows by Autonomous Experimentation Systems</t>
  </si>
  <si>
    <t xml:space="preserve">Autonomous experimentation systems have been used to greatly advance the integrated computational materials engineering (ICME) paradigm. This paper outlines a framework that enables the design and selection of data collection workflows for autonomous experimentation systems. The framework first searches for data collection workflows that generate high-quality information and then selects the workflow that generates the \emph{best, highest-value} information as per a user-defined objective. We employ this framework to select the \emph{user-defined best} high-throughput workflow for material characterization on an additively manufactured Ti-6Al-4V sample for the purposes of outlining a basic materials characterization scenario, reducing the collection time of backscattered electron scanning electron scanning electron microscopy images by a factor of 5 times as compared to the benchmark workflow for the case study presented, and by a factor of 85 times as compared to the workflow used in the previously published study.</t>
  </si>
  <si>
    <t xml:space="preserve">https://doi.org/10.48550/arxiv.2206.07108</t>
  </si>
  <si>
    <t xml:space="preserve">W4405745306</t>
  </si>
  <si>
    <t xml:space="preserve">Complex Fiducial Marker Band Realizing Precision Position Recognition of Transparent Reagent Containers</t>
  </si>
  <si>
    <t xml:space="preserve">This study proposes a novel method for recognizing the position and diameter of transparent containers using a fiducial marker band. This approach enables a laboratory automation system that is teachless and position-flexible. The fiducial marker band consists of a fiducial marker and an elastic band with a colored stripe. The proposed image processing method accurately estimates the center position of the container by recognizing fiducial markers and using RGB threshold processing. According to experiments, position recognition achieved an accuracy of up to 3.3 mm maximum error within a flat area of 400×310 mm. In a robot-based pipetting experiment involving randomly positioned containers, our approach achieved a 100 % success rate in 100 trials, demonstrating its precision and reliability.</t>
  </si>
  <si>
    <t xml:space="preserve">https://doi.org/10.1299/jsmermd.2024.2p2-g03</t>
  </si>
  <si>
    <t xml:space="preserve">W7168263636</t>
  </si>
  <si>
    <t xml:space="preserve">Multi-robot coordination for effective anomaly handling in self-driving laboratories</t>
  </si>
  <si>
    <t xml:space="preserve">https://doi.org/10.1016/j.engappai.2026.115568</t>
  </si>
  <si>
    <t xml:space="preserve">W4415419928</t>
  </si>
  <si>
    <t xml:space="preserve">BrickSDLab: A low-cost self-driving lab platform made from LEGO® bricks for rapid prototyping and education</t>
  </si>
  <si>
    <t xml:space="preserve">Despite the promise of self-driving laboratories to accelerate discovery, their widespread implementation is hindered by prohibitive cost and technical complexity. We introduce BrickSDLab, a fully functional self-driving lab platform built entirely from LEGO® components, designed to bridge this accessibility gap. BrickSDLab combines modular hardware - including syringe pumps, temperature and color sensors, magnetic stirring, and safety features-with a programmable NXT 2.0 control unit, enabling closed-loop experimentation in an affordable and intuitive form. Example applications include autonomous titration and feedback-driven reagent addition. This work illustrates how off-the-shelf prototyping systems can empower students, educators, and early-stage researchers to engage with self-driving lab concepts, making laboratory automation more inclusive and scalable.</t>
  </si>
  <si>
    <t xml:space="preserve">https://doi.org/10.26434/chemrxiv-2025-lb8jt</t>
  </si>
  <si>
    <t xml:space="preserve">W4297324421</t>
  </si>
  <si>
    <t xml:space="preserve">Autonomous optimization of non-aqueous Li-ion battery electrolytes via robotic experimentation and machine learning coupling</t>
  </si>
  <si>
    <t xml:space="preserve">Abstract Developing high-energy and efficient battery technologies is a crucial aspect of advancing the electrification of transportation and aviation. However, battery innovations can take years to deliver. In the case of non-aqueous battery electrolyte solutions, the many design variables in selecting multiple solvents, salts and their relative ratios make electrolyte optimization time-consuming and laborious. To overcome these issues, we propose in this work an experimental design that couples robotics (a custom-built automated experiment named "Clio”) to machine-learning (a Bayesian optimization-based experiment planner named "Dragonfly”). An autonomous optimization of the electrolyte conductivity over a single-salt and ternary solvent design space identifies six fast-charging non-aqueous electrolyte solutions in two work-days and forty-two experiments. This result represents a six-fold time acceleration compared to a random search performed by the same automated experiment. To validate the practical use of these electrolytes, we tested them in a 220 mAh graphite∣∣LiNi0.5Mn0.3Co0.2O2 pouch cell configuration. All the pouch cells containing the robot-developed electrolytes demonstrate improved fast-charging capability against a baseline experiment that uses a non-aqueous electrolyte solution selected a priori from the design space.</t>
  </si>
  <si>
    <t xml:space="preserve">https://doi.org/10.1038/s41467-022-32938-1</t>
  </si>
  <si>
    <t xml:space="preserve">W7134278325</t>
  </si>
  <si>
    <t xml:space="preserve">Bayesian Optimisation for the Experimental Sciences: A Practical Guide to Data‐Efficient Optimisation of Laboratory Workflows</t>
  </si>
  <si>
    <t xml:space="preserve">Bayesian optimisation (BO) is a sample‐efficient strategy for optimising expensive, noisy, black‐box functions, challenges that are common in experimental sciences where each experiment may involve significant cost, time, and effort. Despite its theoretical strengths, BO remains under‐utilised in experimental disciplines, in part due to its perceived mathematical complexity and lack of practical guidance tailored to non‐specialists. This tutorial provides a comprehensive yet accessible introduction to BO, with an emphasis on implementation in chemistry, materials science, and related fields. We cover the core components of BO, including surrogate modelling with Gaussian Processes, acquisition functions, and sequential decision‐making. In addition, we discuss practical extensions for handling noise, constraints, multi‐objective, and high‐dimensional optimisation, mixed‐variable spaces, batch processing, and computational scalability. Strategies for incorporating domain knowledge and deploying BO in automated experimental workflows are also presented. Throughout, we provide practical advice, highlight useful software, and emphasise conceptual understanding over mathematical formalism. As laboratory automation and data‐driven discovery become increasingly central to modern science, we argue that BO will play a transformative role in accelerating intelligent experimentation. The goal of this paper is to lower the barrier to entry and equip the reader with the knowledge needed to </t>
  </si>
  <si>
    <t xml:space="preserve">https://doi.org/10.1002/aisy.202501149</t>
  </si>
  <si>
    <t xml:space="preserve">W4413771910</t>
  </si>
  <si>
    <t xml:space="preserve">Synergy of Machine Learning and High‐Throughput Experimentation: A Road Toward Autonomous Synthesis</t>
  </si>
  <si>
    <t xml:space="preserve">The integration of machine learning (ML) and high-throughput experimentation (HTE) is rapidly transforming research practices in synthetic chemistry. Traditional trial-and-error methods, historically slow and labour-intensive, are being replaced by automated, predictive workflows that significantly accelerate the optimization of chemical reactions. This review highlights the foundational principles and recent advancements in ML and HTE, while emphasizing automation, parallelization, and miniaturization across different systems and their adaptation in autonomous laboratories. Case studies illustrate successful application of ML and HTE in synthetic chemistry, underscoring the enhanced efficiency, and precision through this synergy. The review concludes by addressing current challenges and future directions, outlining how ongoing developments in automation, robotics, and AI/ML-driven experimentation will shape the future landscape of chemistry research.</t>
  </si>
  <si>
    <t xml:space="preserve">https://doi.org/10.1002/asia.202500825</t>
  </si>
  <si>
    <t xml:space="preserve">W2915686053</t>
  </si>
  <si>
    <t xml:space="preserve">Sample treatment platform for automated integration of microextraction techniques and liquid chromatography analysis</t>
  </si>
  <si>
    <t xml:space="preserve">Sample preparation performance influences the quality of every chemical analysis. Since it is the most labor-intensive stage in the nearly all-analytical protocols, sample preparation automation would be desirable, to increase the analytical throughput, maintaining precision and accuracy, while preventing risks of human exposure to chemical or biological agents. Among different lab-automation strategies, robots have long been an important prospect. Nevertheless, widespread adoption of dedicate “robot-chemist” with analytical purposes continues being limited. Open resources that enable non-specialist analysts and researchers to make their own prototypes are still necessary. We have assembled an open-source innovative platform, able to guarantee the online hyphenation of the sample preparation microtechniques with liquid chromatography, mass spectrometry or any other detection system. It is a multi-purpose cartesian robot, programmed to perform sample clean-up operations, allowing the automated pre-concentration of analytes through the performance of solid and liquid phase microextraction protocols, actuating a microextraction syringe driver, and equipped with an in-syringe-stirring mechanism and an adapted interface for online coupling with liquid chromatography or mass spectrometry analysis. The entire sample preparation procedure can be performed by the developed prototype and the enriched extract automatically injected into the separation and detection system. The analytica</t>
  </si>
  <si>
    <t xml:space="preserve">https://doi.org/10.1016/j.ohx.2019.e00056</t>
  </si>
  <si>
    <t xml:space="preserve">W7172399532</t>
  </si>
  <si>
    <t xml:space="preserve">A Lightweight, Low-Label Framework Towards Autonomous Morphology-Resolved SEM-EDS Analysis in Material Microscopy</t>
  </si>
  <si>
    <t xml:space="preserve">https://doi.org/10.21203/rs.3.rs-10521147/v1</t>
  </si>
  <si>
    <t xml:space="preserve">Autonomous microscopy analysis/characterization is directly within the review scope.</t>
  </si>
  <si>
    <t xml:space="preserve">W7204837478</t>
  </si>
  <si>
    <t xml:space="preserve">AI-Guided Self-Driving Laboratories for Advanced Materials Discovery</t>
  </si>
  <si>
    <t xml:space="preserve">Discovering new high-performance materials and alloys is often likened to finding a needle in a haystack because the design space of chemical compositions and processing conditions is astronomically large, and the discovery process is laborious and prohibitively costly. This perspective articulates a research agenda for autonomous materials and metallurgy discovery platforms that combine closed-loop machine learning with robotic experimentation and traditional materials engineering precepts to formulate, process, and test candidate materials with reduced human intervention, and to iterate recursively for stepwise optimization. It explores how sequential learning methods, generative modeling, and hybrid model-based strategies can analyze multimodal experimental data and propose new compositions and processing schedules for subsequent experiments. This approach has the potential to considerably accelerate the pace of discoveries, from decades to mere weeks. Representation learning for material formulations, the injection of domain knowledge into decision-making, and the mechatronic design of robotics that can safely execute harsh processing are all explored as essential components in closing the autonomous loop. Surveyed exemplars show order-of-magnitude improvements in experimental throughput and discovery efficiency. Furthermore, the paper proposes a multidimensional framework for classifying and evaluating the autonomy, complexity, and integration levels of self-driving labo</t>
  </si>
  <si>
    <t xml:space="preserve">https://doi.org/10.69709/caic.2026.133382</t>
  </si>
  <si>
    <t xml:space="preserve">W4415211172</t>
  </si>
  <si>
    <t xml:space="preserve">Closed-Loop Discovery of H Spillover-Driven CO2 Reduction in Acidic Electrolyte by Phosphine-Modified Cu</t>
  </si>
  <si>
    <t xml:space="preserve">Electrochemical CO2 reduction (CO2RR) in acidic media provides high carbon efficiency but suffers from strong competition with hydrogen evolution. Using a closed-loop discovery platform that integrates autonomous experimentation with active learning, we systematically explored phosphine-modified Cu catalysts and identified 1,1,1-tris(diphenylphosphinomethyl)ethane-Cu with 79% C2+ Faradaic efficiency and a highest partial current density of 319 mA cm−2. Beyond catalyst optimization, isotope-labeling and depth-profiling studies revealed a striking mechanistic feature: C2 products originate predominantly from gas-phase CO2 reacting inside the dry porous Cu layer, where *H species, generated at the water/Cu interface, spill over to hydrogenate accumulated *CO. This contrasts with the prevailing view that multi-carbon products mainly form at the wetted water-Cu-gas triphasic interface. By decoupling *H generation from CO2 supply, the optimized catalyst suppresses hydrogen evolution and promotes C-C coupling under acidic conditions. Our study thus demonstrates how closed-loop catalyst discovery not only delivers high-performing systems but also leads to uncovering overlooked mechanistic pathways in electrochemical CO2 conversion.</t>
  </si>
  <si>
    <t xml:space="preserve">https://doi.org/10.26434/chemrxiv-2025-51tv8</t>
  </si>
  <si>
    <t xml:space="preserve">W7163754748</t>
  </si>
  <si>
    <t xml:space="preserve">Applications of AI in Organic Chemistry</t>
  </si>
  <si>
    <t xml:space="preserve">ABSTRACT AI is becoming a rapidly expanding area of synthetic organic chemistry with the ability to predict and plan reactions and to automate reactions. With the added value of chemical knowledge, existing artificial intelligence (AI) systems can now predict reaction products and selectivity, identify synthesis routes, and optimize reaction conditions more efficiently than ever before. Recent advances in the application of AI to synthetic chemistry are summarized, including predicting reactivity at the atomic level, modeling single‐step reactions, computer‐aided retrosynthetic planning, and laboratory automation. We cover key machine learning (ML) architectures, including neural networks (NNs), graph‐based models, and transformer architectures, and showcase their applications in reaction prediction, retrosynthesis, and drug synthesis. Particular emphasis is placed on the use of predictive models, together with automated experimental platforms, to enable closed‐loop optimization and autonomous development. Problems related to data quality, model interpretability, stereochemical control, and their application in synthesizing laboratories deserve research. Finally, we discuss the potential to achieve fully autonomous platforms and chemistry foundation models, as well as the long‐term possibilities of AI to reimagine synthetic methodology, expedite the discovery of new molecules, and enhance sustainability in organic chemistry.</t>
  </si>
  <si>
    <t xml:space="preserve">https://doi.org/10.1002/slct.73624</t>
  </si>
  <si>
    <t xml:space="preserve">W7155774382</t>
  </si>
  <si>
    <t xml:space="preserve">Autonomous sampling and SHAP interpretation of deposition-rates in bipolar HiPIMS</t>
  </si>
  <si>
    <t xml:space="preserve">autonomous Bayesian sampling over a 6-dimensional parameter space. The resulting machine-learning model was then interpreted using Shapley Additive Explanations (SHAP), to deconvolute complex process influences on deposition rates. This allows us to link observed variations in deposition rate to physical mechanisms such as back-attraction and plasma ignition. Insights gained from this approach were then used to target specific processes where the positive pulse components were expected to have the highest impact on deposition rates. However, in practice, only minimal improvements in deposition rate were achieved. In most cases, the positive pulse appears to be detrimental when placed immediately after the neg. pulse which we hypothesize relates to quenching of the afterglow plasma. The proposed workflow combining autonomous experimentation and interpretable machine learning is broadly applicable to the optimization of complex plasma processes, paving the way for physics-informed, data-driven advancements in coating technologies.</t>
  </si>
  <si>
    <t xml:space="preserve">https://doi.org/10.1039/d6dd00063k</t>
  </si>
  <si>
    <t xml:space="preserve">W7106326164</t>
  </si>
  <si>
    <t xml:space="preserve">69Chapter 4 The autonomous revolution: role of AI in self-driving labs for materials sciences</t>
  </si>
  <si>
    <t xml:space="preserve">Currently, the use of autonomous technologies within materials science studies is transforming the entire discipline. High-quality large datasets generated through autonomous experimentation would facilitate the advancement of artificial intelligence (AI artificial intelligence ) in materials science and chemistry, improving machine learning machine learning (ML) and deep learning (DL) models, and augmenting the decision-making efficacy of data-driven algorithms. The so-called self-driving laboratories (SDLs self-driving laboratories ), as an innovative analytical platform, are leading this change, using AI artificial intelligence , robots, and high-throughput testing to accelerate discovery and innovation. An SDL is an advanced experimental platform featuring various hardware modules that systematically execute a sequence of processes, as determined and organized by the ML algorithm in a closed-loop configuration to attain a specified goal. These systems make use of ML analyses to scrutinize vast databases, improve the conditions of experiments and support decision-making, where the input from a human is marginal. SDLs self-driving laboratories help to free the researcher’s time, who can then focus on creating a hypothesis and work within complex problems, while repetitive tasks and overlooked patterns can be solved algorithmically. This chapter discusses the various roles of AI artificial intelligence in shaping SDLs self-driving laboratories , with a focus on how it affect</t>
  </si>
  <si>
    <t xml:space="preserve">https://doi.org/10.1515/9783111681870-004</t>
  </si>
  <si>
    <t xml:space="preserve">W7214614418</t>
  </si>
  <si>
    <t xml:space="preserve">Toward Full Interoperability in Materials Science: Integrating Workflows With Knowledge Graphs</t>
  </si>
  <si>
    <t xml:space="preserve">Interoperability is a central challenge in modern materials science as scientific workflows increasingly need to integrate heterogeneous computational methods, experimental infrastructures, data platforms, and AI‐assisted systems. This perspective presents interoperability concepts from European digitalization initiatives in materials science namely, Platform MaterialDigital, NFDI‐MatWerk, and MaterialsCommons, which focus on workflow management systems (WfMSs), semantic representations, and knowledge graph technologies, while relating these developments to the broader landscape of materials informatics. Since various WfMSs address different requirements, interoperable abstraction layers such as the Python Workflow Definition are needed and enable workflows to be exchanged between systems while preserving reproducibility. Beyond technical interoperability, the review highlights the growing importance of semantic interoperability through ontology‐driven frameworks, including atomRDF, the Abstract Workflow Language, and semantikon. These approaches enrich workflows with machine‐readable semantic annotations, provenance information, and Resource Description Framework‐based knowledge graphs, enabling workflows to become semantically transparent and reusable scientific objects. The growing importance of semantically annotated workflows for the integration of computational and experimental workflows within Materials Acceleration Platforms and the emerging role of large language mod</t>
  </si>
  <si>
    <t xml:space="preserve">https://doi.org/10.1002/adem.71258</t>
  </si>
  <si>
    <t xml:space="preserve">W3043005121</t>
  </si>
  <si>
    <t xml:space="preserve">Practical considerations for active machine learning in drug discovery</t>
  </si>
  <si>
    <t xml:space="preserve">https://doi.org/10.1016/j.ddtec.2020.06.001</t>
  </si>
  <si>
    <t xml:space="preserve">W4388759517</t>
  </si>
  <si>
    <t xml:space="preserve">Autonomous Experimentation in Practice</t>
  </si>
  <si>
    <t xml:space="preserve">Autonomous Experimentation (AE) is an emerging paradigm for accelerating scientific discovery, leveraging artificial intelligence and machine-learning methods to automate the entire experimental loop, including the decision-making step. In recent decades, we have seen increasing use of automation to enable high-throughput experiments, including combinatorial approaches. This work has demonstrated enhanced efficiency, through increased beamtime utilization, more rapid convergence to high-quality data, and new material discoveries. Correspondingly, one can view the over-arching objective of AE to be part of an effort to "tighten" the discovery loop-that is, shorten the iteration time between the successive steps of research. Overall, tightening the discovery loop not only accelerates iterative experimentation but also yields more sophisticated exploration and modeling, by more tightly coupling synthesis, measurements, theory/simulation, and decision-making. Such controllers can be valuable in many contexts; especially where there is plenty of training data, and where the primary objective is a simple and verifiable optimization.</t>
  </si>
  <si>
    <t xml:space="preserve">https://doi.org/10.1201/9781003359593-1</t>
  </si>
  <si>
    <t xml:space="preserve">W4412517354</t>
  </si>
  <si>
    <t xml:space="preserve">Automated electron microscopy sample preparation system</t>
  </si>
  <si>
    <t xml:space="preserve">An automated, modular, solvent-free system enabling preparation of powder samples for electron microscopy in self-driving labs. EMSBot addresses challenges in automating sample preparation and improves consistency and reproducibility.</t>
  </si>
  <si>
    <t xml:space="preserve">https://doi.org/10.1039/d5dd00116a</t>
  </si>
  <si>
    <t xml:space="preserve">W7147676065</t>
  </si>
  <si>
    <t xml:space="preserve">Integrating Artificial Intelligence via Deep Reinforcement Learning for the Autonomous Discovery of High-Entropy Nanoclusters</t>
  </si>
  <si>
    <t xml:space="preserve">The rational design and prediction of stable configurations for high-entropy alloy (HEA) nanoclusters present a formidable challenge due to the vast combinatorial space defined by size, shape, composition, and chemical ordering. While traditional global optimization algorithms are widely used, they face critical limitations in evaluator accuracy and computational efficiency for realistic systems. To overcome these constraints, we employed a deep reinforcement learning (DRL) framework designed for the rapid and accurate prediction of stable nanostructures. We demonstrate the efficacy of this approach on quaternary and quinary cluster systems. The agent explores the potential energy surface (PES) through stochastic configuration generation and atomic displacements. The local environment is encoded using atom-centered symmetry functions and integrates energy and force data for an accurate state evaluation, guided by a tailored reward function that balances exploration and exploitation. The agent is trained with the Trust Region Policy Optimization (TRPO) algorithm to ensure stable and efficient training, leading to rapid convergence, a strong bias toward low-energy states, and the effective sampling of diverse minima─outperforming conventional search methodologies. Subsequent first-principles validation confirms the stability of the identified nanoclusters, revealing negative formation energies. This thermodynamic stability is further analyzed by molecular dynamics simulations a</t>
  </si>
  <si>
    <t xml:space="preserve">https://doi.org/10.1021/acsanm.6c00443</t>
  </si>
  <si>
    <t xml:space="preserve">W7202357976</t>
  </si>
  <si>
    <t xml:space="preserve">Aleks 2.0: Enhanced Single Agent MCP System for Autonomous Research in Plant Science</t>
  </si>
  <si>
    <t xml:space="preserve">Abstract. AI agent systems powered by large language models (LLMs) have demonstrated significant potential for automating scientific discovery workflows. Our previous work introduced Aleks, an AI-powered multi-agent system that autonomously conducts data-driven research in plant sciences by integrating domain knowledge, data analysis, and machine learning. While Aleks achieved full autonomy in addressing research questions, its capabilities were constrained by simplified knowledge organization and a limited toolset. Here we present Aleks 2.0, an enhanced system featuring three major improvements. First, a LightRAG knowledge graph replaces flat summarization as the retrieval backend for the Domain Scientist, enabling structured entity-level retrieval and cross-paper reasoning from scientific literature. Second, a template-based code generation strategy stabilizes machine learning pipeline construction under locally deployed small-parameter language models by externalizing factual API knowledge and structural constraints into a reusable scaffold. Third, a Model Context Protocol (MCP) based architecture provides a standardized, pluggable interface through which domain-specific tools contributed by external collaborators can be registered and invoked directly within the agent pipeline without modification to the core system. Results demonstrate that graph-based retrieval outperforms flat summarization across all evaluated question categories, template-based instruction achieves r</t>
  </si>
  <si>
    <t xml:space="preserve">https://doi.org/10.13031/aim.202600898</t>
  </si>
  <si>
    <t xml:space="preserve">W2013234942</t>
  </si>
  <si>
    <t xml:space="preserve">Integrated chemical analysis microsystems in space life sciences research</t>
  </si>
  <si>
    <t xml:space="preserve">A review of life sciences research in space, and the experimental infrastructure available or proposed for future development is presented. The monitoring of a wide range of chemical parameters is required in contrasting experimental configurations, ranging from autonomous experimental modules in sounding rockets, to bioregenerative life support systems on manned planetary bases. Microsystem technologies (MST) are proposed as a solution to the development of integrated chemical analysis systems which will meet both the diverse requirements for chemical monitoring systems, and the constraints of size and power imposed on instrument design by deployment on space missions. It is proposed that these technologies will transform the data yield from experiments, and expand the scope for more creative experimental protocol. The use of MST is illustrated with design concepts for cell microincubators, and a chemical analysis facility. The review concludes that the application to space life science research provides a challenging and unique opportunity for the development of demonstrator prototype microsystems.</t>
  </si>
  <si>
    <t xml:space="preserve">https://doi.org/10.1088/0960-1317/4/4/002</t>
  </si>
  <si>
    <t xml:space="preserve">W7204883911</t>
  </si>
  <si>
    <t xml:space="preserve">PaperGym: Rubric-Centered Evolution for Research-Plan Generation</t>
  </si>
  <si>
    <t xml:space="preserve">Research planning is the decisive capability of AI scientists. Yet a research plan admits no verifiable answer, so reinforcement learning lacks the environment it requires: tasks paired with a critic. Rubrics extracted from scientific papers can supply the critic. Existing pipelines, however, draw the question and the criteria from the same content, so the reward can be earned by paraphrase. The rubric is further compressed into a single scalar per rollout. We introduce PaperGym, a unified framework that turns each research paper into a complete training environment. PaperGym exploits the structure of a paper: the question is synthesized from the research goal and background, while the criteria are derived from the method and experiments. The criteria span methodological innovation and experimental design, and criterion leakage falls to 3.7%, versus 11.90% to 34.10% in existing datasets. Training uses the rubric twice: first as privileged context for OPSD's self-teacher, then as the reward for GRPO. Across Qwen3-1.7B/4B/8B, this schedule outperforms supervised fine-tuning, either stage alone, and the reverse ordering, improving five-benchmark averages by +5.6, +5.0, and +4.8 points. With the recipe held fixed, models trained on PaperGym-20k win 58.1% of three-way comparisons, against 28.2% for RubricHub Science. The trained Qwen3-8B reaches 73.48 on ResearchQA, above the far larger Kimi K2.6. We release the pipeline, the 20,000-instance corpus PaperGym-20k, and the benchmarks</t>
  </si>
  <si>
    <t xml:space="preserve">https://doi.org/10.48550/arxiv.2608.31119</t>
  </si>
  <si>
    <t xml:space="preserve">W7163989334</t>
  </si>
  <si>
    <t xml:space="preserve">TianJi-Environ: An Autonomous AI Scientist for Atmospheric Environmental Research</t>
  </si>
  <si>
    <t xml:space="preserve">As atmospheric environmental prediction continues to improve, interpretable validation of pollution mechanisms and feedback processes has become a main challenge in atmospheric chemistry. Yet mechanism validation based on complex numerical models still relies heavily on expert knowledge: mechanistic hypotheses must be operationalized into executable experiments, and model outputs must be organized into traceable evidence. We present TianJi-Environ, an auditable AI Scientist for atmospheric-chemistry mechanism validation. TianJi-Environ establishes the first WRF-Chem-based multi-agent framework that autonomously drives complex atmospheric-chemistry simulations, converting mechanistic hypotheses into executable configurations, testing experiments, and evidence criteria. Using ozone response and particulate-matter feedback as two representative examples, we demonstrate TianJi-Environ's capability for mechanism validation. In a summertime ozone case over the North China Plain, the system detects directionally consistent aerosol-radiation-interaction signals in shortwave radiation and boundary-layer height, but judges the evidence for ozone response to NOx control to be incomplete. In a wintertime PM2.5 case over the Guanzhong Basin, it localizes the unsupported link to insufficient propagation from black-carbon perturbation to particulate response and missing diagnostics of vertical absorptive heating. These results show that TianJi-Environ makes expert-driven mechanism validatio</t>
  </si>
  <si>
    <t xml:space="preserve">https://doi.org/10.48550/arxiv.2606.07697</t>
  </si>
  <si>
    <t xml:space="preserve">W7170545405</t>
  </si>
  <si>
    <t xml:space="preserve">Scalable Low-Cost Laboratory Automation: A Digital Twin-Integrated Robotic Platform for Autonomous Liquid Handling (RAINBOT)</t>
  </si>
  <si>
    <t xml:space="preserve">Laboratory automation accelerates discovery, yet its adoption is constrained by the high cost, proprietary design, and limited remote supervisability of commercial liquid-handling systems. This work presents RAINBOT\textsuperscript{TM}, a low-cost, openly reproducible liquid-handling robot built by converting a consumer-grade Cartesian 3D printer (Elegoo Neptune 4 Max). The printer extruder is replaced by a precision single-channel pipette actuated through the printer's own G-code-driven X--Y--Z gantry, with plunger and tip-eject motions effected by two compact linear actuators under Python control. To make experiments transparent and remotely supervisable, a browser-based digital twin is implemented to synchronise bidirectionally with the physical platform, mirroring kinematics and pipetting states in real time and exposing remote monitoring, intervention, and an emergency stop from any web browser. As a proof of concept, RAINBOT\textsuperscript{TM} performed sequential exchanges of differently coloured aqueous solutions while an integrated colour sensor quantified the resulting mixtures; measured red, yellow, and blue (RYB) responses agreed with expected mixing behaviour to within a mean absolute error of two percentage points, validating correct execution and real-time tracking. Closing the loop, the platform is coupled to the CEID\textsuperscript{TM} (Cooperative Explorer for Inverse Design) framework, which recasts experimentation from iterative manual guessing into a go</t>
  </si>
  <si>
    <t xml:space="preserve">https://doi.org/10.48550/arxiv.2607.20662</t>
  </si>
  <si>
    <t xml:space="preserve">W7118542619</t>
  </si>
  <si>
    <t xml:space="preserve">Return on Experiment: Information-per-Cost Metrics for Self-Driving Chemical Laboratories</t>
  </si>
  <si>
    <t xml:space="preserve">Self-driving laboratories (SDLs) integrate artificial intelligence with laboratory automation to accelerate chemical optimization through iterative experiment design, execution, and analysis. Current evaluation practices emphasize outcome-centric metrics such as best-achieved yield, number of experiments to reach a target, and Pareto-front advancement. However, these summaries do not explicitly quantify learning efficiency-how much model-relevant information is gained per unit resource-nor do they credit experiments that reduce uncertainty without improving observed outcomes, including negative or null results that delineate the boundaries of viable chemical space. We propose Return on Experiment (RoE), a resource-normalized metric that couples information return to total cost. RoE is defined as ΔI/C, where ΔI denotes an information-gain term quantified through reduction in posterior predictive uncertainty (operationalized as domain-averaged variance reduction, entropy decrease, or improvement in held-out predictive log-score), and C denotes audited resource costs spanning both experimental expenditures (time, reagents, monetary cost, environmental impact) and computational expenditures (token usage, compute hours). RoE is reported either as per-resource values preserving interpretability across cost dimensions, or as a scalar following explicit normalization and weighting protocols. We formalize standardized ΔI definitions with objective normalization and reference-set speci</t>
  </si>
  <si>
    <t xml:space="preserve">https://doi.org/10.26434/chemrxiv-2026-1vrq1</t>
  </si>
  <si>
    <t xml:space="preserve">W4406852119</t>
  </si>
  <si>
    <t xml:space="preserve">Active oversight and quality control in standard Bayesian optimization for autonomous experiments</t>
  </si>
  <si>
    <t xml:space="preserve">Abstract The fusion of experimental automation and machine learning has catalyzed a new era in materials research, prominently featuring Gaussian Process (GP) Bayesian Optimization (BO) driven autonomous experiments. Here we introduce a Dual-GP approach that enhances traditional GPBO by adding a secondary surrogate model to dynamically constrain the experimental space based on real-time assessments of the raw experimental data. This Dual-GP approach enhances the optimization efficiency of traditional GPBO by isolating more promising space for BO sampling and more valuable experimental data for primary GP training. We also incorporate a flexible, human-in-the-loop intervention method in the Dual-GP workflow to adjust for unanticipated results. We demonstrate the effectiveness of the Dual-GP model with synthetic model data and implement this approach in autonomous pulsed laser deposition experimental data. This Dual-GP approach has broad applicability in diverse GPBO-driven experimental settings, providing a more adaptable and precise framework for refining autonomous experimentation for more efficient optimization.</t>
  </si>
  <si>
    <t xml:space="preserve">https://doi.org/10.1038/s41524-024-01485-2</t>
  </si>
  <si>
    <t xml:space="preserve">W7154477710</t>
  </si>
  <si>
    <t xml:space="preserve">Robotic Nanoparticle Synthesis Via Solution-Based Processes</t>
  </si>
  <si>
    <t xml:space="preserve">Abstract We present a screw geometry-based manipulation planning framework for the robotic automation of solution-based synthesis, exemplified through the preparation of gold and magnetite nanoparticles. The synthesis protocols are inherently long-horizon, multistep tasks, requiring skills such as pick-and-place, pouring, turning a knob, and periodic visual inspection to detect reaction completion. A central challenge is that some skills, notably pouring, transferring containers with solutions, and turning a knob, impose geometric and kinematic constraints on the end-effector motion. To address this, we use a programming by demonstration paradigm where the constraints can be extracted from a single demonstration. This combination of screw-based motion representation and demonstration-driven specification enables domain experts, such as chemists, to readily adapt and reprogram the system for new experimental protocols and laboratory setups without requiring expertise in robotics or motion planning. We extract sequences of constant screws from demonstrations, which compactly encode the motion constraints while remaining coordinate-invariant. This representation enables robust generalization across variations in grasp placement and allows parameterized reuse of a skill learned from a single example. By composing these screw-parameterized primitives according to the synthesis protocol, the robot autonomously generates motion plans that execute the complete experiment over repeate</t>
  </si>
  <si>
    <t xml:space="preserve">https://doi.org/10.1115/1.4072587</t>
  </si>
  <si>
    <t xml:space="preserve">W4406132127</t>
  </si>
  <si>
    <t xml:space="preserve">Reliable and robust robotic handling of microplates via computer vision and touch feedback</t>
  </si>
  <si>
    <t xml:space="preserve">Laboratory automation requires reliable and precise handling of microplates, but existing robotic systems often struggle to achieve this, particularly when navigating around the dynamic and variable nature of laboratory environments. This work introduces a novel method integrating simultaneous localization and mapping (SLAM), computer vision, and tactile feedback for the precise and autonomous placement of microplates. Implemented on a bi-manual mobile robot, the method achieves fine-positioning accuracies of ± 1.2 mm and ± 0.4°. The approach was validated through experiments using both mockup and real laboratory instruments, demonstrating at least a 95% success rate across varied conditions and robust performance in a multi-stage protocol. Compared to existing methods, our framework effectively generalizes to different instruments without compromising efficiency. These findings highlight the potential for enhanced robotic manipulation in laboratory automation, paving the way for more reliable and reproducible experimental workflows.</t>
  </si>
  <si>
    <t xml:space="preserve">https://doi.org/10.3389/frobt.2024.1462717</t>
  </si>
  <si>
    <t xml:space="preserve">W4407556581</t>
  </si>
  <si>
    <t xml:space="preserve">Democratizing self-driving labs through user-developed automation infrastructure</t>
  </si>
  <si>
    <t xml:space="preserve">As self-driving labs become widely deployed in chemicals and materials research, interest in democratizing access to these platforms is growing. SDLs can be democratized by lowering their costs to increase accessibility and by creating systems that allow researchers to modify, extend, and share SDL tools to meet the needs of their science and contribute to the advancement of the SDL community. In particular, user-developed automation infrastructure is an important component of democratized SDL ecosystems. To advance community adoption of democratized SDL practices, we organized the “Democratizing Self-Driving Labs” workshop held at the 2024 Accelerate conference. As part of this workshop, the authors contributed to a demonstration of their user-developed automation infrastructure. 14 examples of custom built hardware, software, and workflows were shared. This workshop provided an opportunity for researchers to see user-developed infrastructure in action, learn about how they could integrate these projects into their work, and contribute to discussion about what is needed to advance the state of democratized SDLs. In this perspective, ten contributed examples of user-developed hardware and software from the workshop are highlighted. Despite a diverse array of projects, common motivations for pursuing user-developed infrastructure were cost savings and specification requirements that were unmet by commercially available products. Continuing to advance the state of user-develope</t>
  </si>
  <si>
    <t xml:space="preserve">https://doi.org/10.26434/chemrxiv-2025-zhkrf</t>
  </si>
  <si>
    <t xml:space="preserve">W4384786990</t>
  </si>
  <si>
    <t xml:space="preserve">An optimization-free Fisher information driven approach for online design of experiment</t>
  </si>
  <si>
    <t xml:space="preserve">https://doi.org/10.1016/b978-0-443-15274-0.50003-2</t>
  </si>
  <si>
    <t xml:space="preserve">W4254728038</t>
  </si>
  <si>
    <t xml:space="preserve">A Reactivity First Approach to Autonomous Discovery of New Chemistry</t>
  </si>
  <si>
    <t xml:space="preserve">We present a robotic chemical discovery system capable of learning the generalized notion of reactivity using a neural network model that can abstract the reactivity from the identity of the reagents. The system is controlled using an algorithm that works in conjunction with this learned knowledge, the robot was able to autonomously explore a large number of potential reactions and assess the reactivity of mixtures, including unknown datasets, regardless the identity of the starting materials. The system identified a range of chemical reactions and products, some of which were well-known, some new but predictable from known pathways, but also some unpredictable reactions that yielded new molecules. The search was done within a budget of 15 inputs combined in 1018 reactions, which allowed us not only to discover a new photochemical reaction, but also a new reactivity mode for a well-known reagent (p-toluenesulfonylmethyl isocyanide, TosMIC). This involved the reaction of six equivalents of TosMIC in a ‘multi-step, single-substrate’ cascade reaction yielding a trimeric product in high yield (47% unoptimized) with formation of five new C-C bonds involving sp-sp2 and sp-sp3 carbon centres. Analysis reveals that this transformation is intrinsically unpredictable, demonstrating the possibility of reactivity-first robotic discovery of unknown reaction methodologies without requiring human input.</t>
  </si>
  <si>
    <t xml:space="preserve">https://doi.org/10.26434/chemrxiv.12924968</t>
  </si>
  <si>
    <t xml:space="preserve">W2006076813</t>
  </si>
  <si>
    <t xml:space="preserve">Combination of a Customized Robotic System with a TLC Scanner for High-Throughput Reaction Screening</t>
  </si>
  <si>
    <t xml:space="preserve">Combination of a new and highly efficient robotic system for high-throughput reaction screening with a thin-layer chromatography (TLC) scanner is described. The system consists of a parallel synthesis robot capable of performing up to several hundred reactions in parallel and a second robot for analytical sample workup, dilution, and TLC-spotting. The automatically prepared TLC plates are analyzed with a modern TLC scanner which gives rapidly semi-quantitative analytical results on the outcome of the single reactions. Several automated chemistry examples clearly demonstrate the high efficiency of this combined system and its superiority compared to more classical approaches, e.g., HPLC analyses.</t>
  </si>
  <si>
    <t xml:space="preserve">https://doi.org/10.1021/op0341972</t>
  </si>
  <si>
    <t xml:space="preserve">W7133353979</t>
  </si>
  <si>
    <t xml:space="preserve">A Purpose-Built Open Source Liquid Handler for Industry-Class Automated Experiments</t>
  </si>
  <si>
    <t xml:space="preserve">Abstract The expanding scope of laboratory automation increasingly demands systems that can be tailored to specific experimental constraints, including footprint, timing, cost, and control. While open-source software has improved protocol flexibility, liquid-handling hardware itself remains largely closed, limiting the ability of academic and startup laboratories to build instruments around biological requirements rather than vendor defaults. Here, we present a fully open-source, purpose-built liquid-handling robot assembled from commercially available components and developed entirely in a research setting. The platform integrates open hardware, electronics, and a Python-based control stack compatible with PyLabRobot, exposing low-level motion dynamics and liquid-handling behaviors directly to experiment code. We validate the system using a high-throughput turbidostat workflow that requires rapid, closed-loop measurement and actuation to maintain microbial cultures at defined density setpoints. The robot sustains stable steady-state growth across approximately 200 cultures with heterogeneous growth dynamics. A replica build completed by two lab members in approximately one week confirms that the platform can be reproduced from its bill of materials and assembly guide. Its compact footprint and use of off-the-shelf components make it suitable for rapid, parallel deployment in settings such as public health emergencies or by distributed laboratories. Together, these results de</t>
  </si>
  <si>
    <t xml:space="preserve">https://doi.org/10.64898/2026.03.02.709168</t>
  </si>
  <si>
    <t xml:space="preserve">W4416346128</t>
  </si>
  <si>
    <t xml:space="preserve">Human-AI collaborative autonomous synthesis with pulsed laser deposition for remote epitaxy</t>
  </si>
  <si>
    <t xml:space="preserve">https://doi.org/10.21203/rs.3.rs-9360434/v1</t>
  </si>
  <si>
    <t xml:space="preserve">W7161690425</t>
  </si>
  <si>
    <t xml:space="preserve">Real-time Multi-instrument Autonomous Discovery of Novel Phase-change Memory Materials</t>
  </si>
  <si>
    <t xml:space="preserve">Autonomous labs enable the integration of automated experiment execution, data analysis and decision making. The main challenge remains the integration of diverse data streams from multiple instruments, where the data is often heterogeneous and unsynchronized. The standard learning process of undetermined synthesis-process-structure-property relationships (SPSPR) usually relies on post-experiment analysis after data is fully collected, not during live experiments, and decision making is carried out independently across characterization equipment. Here, we demonstrate the Multi-instrument Autonomous Discovery (MAD) framework -- combining structural property mapping and functional property optimization simultaneously in a closed-loop manner. As an example, we applied MAD to phase change memory (PCM) materials, and, in particular on the Mn-Sb-Te ternary, a previously unexplored materials system for PCM. A multi-output model is employed to merge data from x-ray diffraction (XRD) and electrical resistance measurements simultaneously through a co-regionalization kernel that models the relationship between them. The output probabilistic posterior and uncertainty quantification facilitate decision making with shared knowledge, while the goals are different across tasks. We aimed to maximize the knowledge of crystal structure distribution using non-negative matrix factorization (NMF), while in parallel, we find the composition with the maximum resistance value, an important figure of </t>
  </si>
  <si>
    <t xml:space="preserve">https://doi.org/10.48550/arxiv.2605.18033</t>
  </si>
  <si>
    <t xml:space="preserve">W4401364952</t>
  </si>
  <si>
    <t xml:space="preserve">PANDA: a self-driving lab for studying electrodeposited polymer films</t>
  </si>
  <si>
    <t xml:space="preserve">We introduce the polymer analysis and discovery array (PANDA), an automated system for high-throughput electrodeposition and functional characterization of polymer films. The PANDA is a custom, modular, and low-cost system based on a CNC gantry that we have modified to include a syringe pump, potentiostat, and camera with a telecentric lens. This system can perform fluid handling, electrochemistry, and transmission optical measurements on samples in custom 96-well plates that feature transparent and conducting bottoms. We begin by validating this platform through a series of control fluid handling and electrochemistry experiments to quantify the repeatability, lack of cross-contamination, and accuracy of the system. As a proof-of-concept experimental campaign to study the functional properties of a model polymer film, we optimize the electrochromic switching of electrodeposited poly(3,4-ethylenedioxythiophene):poly(styrene sulfonate) (PEDOT:PSS) films. In particular, we explore the monomer concentration, deposition time, and deposition voltage using an array of experiments selected by Latin hypercube sampling. Subsequently, we run an active learning campaign based upon Bayesian optimization to find the processing conditions that lead to the highest electrochromic switching of PEDOT:PSS. This self-driving lab integrates optical and electrochemical characterization to constitute a novel, automated approach for studying functional polymer films.</t>
  </si>
  <si>
    <t xml:space="preserve">https://doi.org/10.1039/d4mh00797b</t>
  </si>
  <si>
    <t xml:space="preserve">W2564001056</t>
  </si>
  <si>
    <t xml:space="preserve">The dawn of unmanned analytical laboratories</t>
  </si>
  <si>
    <t xml:space="preserve">https://doi.org/10.1016/j.trac.2016.12.011</t>
  </si>
  <si>
    <t xml:space="preserve">W4376653700</t>
  </si>
  <si>
    <t xml:space="preserve">Autonomous Optimization of an Organic Solar Cell in a 4-dimensional Parameter Space</t>
  </si>
  <si>
    <t xml:space="preserve">Optimizing solution-processed organic solar cells is a complex task due to the vast parameter space in organic photovoltaics (OPV). Classical Edisonian or one-variable-at-a-time (OVAT) optimization approaches are laborious, time-consuming, and may not find the optimal parameter set in multidimensional design spaces. To tackle this problem, we demonstrate here for the first time artificial intelligence (AI) guided closed-loop autonomous optimization for fully functional organic solar cells. We empower our LineOne, an automated materials and device acceleration platform with a Bayesian Optimizer (BO) to enable autonomous operation for solving complex optimization problems without human interference. The system is able to fabricate and characterize complete OPV devices and navigate efficiently through the design space spanned by composition and processing parameters. In addition, a Gaussian Progress Regression (GPR) based early prediction model is employed to predict the efficiency of the cells from cheap proxy measurements, in our case, thin film absorption spectra, which are analyzed using a spectral model based on physical properties to generate microstructure features as input for the GPR. We demonstrate our generic and complete autonomous approach by optimizing composition and processing conditions of a ternary OPV system (PM6:Y12:PC70BM) in a four-dimensional parameter space. We identify the best parameter set for our system and obtain a precise objective function over the</t>
  </si>
  <si>
    <t xml:space="preserve">https://doi.org/10.48550/arxiv.2305.08248</t>
  </si>
  <si>
    <t xml:space="preserve">W1523429571</t>
  </si>
  <si>
    <t xml:space="preserve">An Artificial Experimenter for Enzymatic Response Characterisation</t>
  </si>
  <si>
    <t xml:space="preserve">https://doi.org/10.1007/978-3-642-16184-1_4</t>
  </si>
  <si>
    <t xml:space="preserve">W7122457644</t>
  </si>
  <si>
    <t xml:space="preserve">ACCEL: Automated Closed-loop Co-Optimization and Experimentation Learning Enables Phase-Pure Identification in Formamidinium-based Dion-Jacobson Halide Perovskites</t>
  </si>
  <si>
    <t xml:space="preserve">Self-driving laboratories (SDLs) are poised to transform materials discovery by integrating automation with machine learning (ML) to accelerate data-driven experimentation. However, most SDL frameworks remain limited by single-feedback optimization and lack the multi-modal diagnostics needed to resolve both optical and structural evolution in complex hybrid systems. Here, we introduce ACCEL, an automated, ML-guided closed-loop platform for identifying and synthesizing target pure phases within quasi-2D halide perovskite systems. Using a ternary 3D:2D compositional space comprising 3D FAPbI3 and two Dion-Jacobson (DJ) spacer-based components, ACCEL optimizes the 3D:2D ratios to identify compositions that converge toward a structurally and optically stable α-FAPbI3-like phase within a quasi-2D design space. Automated in-situ photoluminescence (PL) is used to monitor crystallization kinetics in real time, revealing how the relative fraction of co-spacers governs nucleation rate and phase evolution during film formation. These kinetic insights are integrated with high-throughput synthesis, automated PL analysis, and X-ray diffraction (XRD) similarity metrics within a Gaussian Process-Bayesian Optimization framework to suppress phase heterogeneity and stabilize the target phase. Rather than targeting a predefined DJ layer number, ACCEL enables optimization based on user-defined optical and structural signatures, providing a generalizable route for autonomous phase discovery in com</t>
  </si>
  <si>
    <t xml:space="preserve">https://doi.org/10.26434/chemrxiv-2026-8c93m</t>
  </si>
  <si>
    <t xml:space="preserve">W7203643933</t>
  </si>
  <si>
    <t xml:space="preserve">Balancing Autonomy and Oversight in Language-Agent-Guided Physical Experimentation</t>
  </si>
  <si>
    <t xml:space="preserve">https://doi.org/10.21203/rs.3.rs-10671592/v1</t>
  </si>
  <si>
    <t xml:space="preserve">W7203483601</t>
  </si>
  <si>
    <t xml:space="preserve">MIRA: Towards a General AI Scientist</t>
  </si>
  <si>
    <t xml:space="preserve">Artificial intelligence now reaches into much of scientific practice, yet a gap persists between systems that answer scientific questions and systems that advance science. Scientific discovery is not a single response but an iterative loop that runs from hypothesis generation through execution to interpretation, carried out under uncertainty and accountable to reproducible evidence. We present MIRA, an AI scientist tailored for the physical sciences, to operationalize this loop end to end. MIRA is organized as a squad of agents with different harnesses and tools that mirror how a human research team divides and coordinates its work. It frames research directions and mines the published literature and a team’s internal data to propose grounded, testable hypotheses; it executes pre- or user-defined simulation workflows on cloud compute infrastructure; and it drives physical experiments through our in-house automated laboratory, the AI Materials Factory, carrying a hypothesis from plan to bench. MIRA consolidates results into calibrated conclusions, states its uncertainty explicitly, and compiles each completed project into a persistent memory and a maintained scientific wiki, so that reasoning, provenance, and negative results remain available to later work. On two external benchmarks MIRA attains the highest score at the lowest cost per task among seven agents compared, and leads four of five task categories on a specialized drug-discovery suite, exceeding agents purpose-built</t>
  </si>
  <si>
    <t xml:space="preserve">https://doi.org/10.5281/zenodo.21930642</t>
  </si>
  <si>
    <t xml:space="preserve">W7165659369</t>
  </si>
  <si>
    <t xml:space="preserve">PaperClaw: Harnessing Agents for Autonomous Research and Human-in-the-Loop Refinement</t>
  </si>
  <si>
    <t xml:space="preserve">Large language models have become capable reasoners and tool users that write and run code and search the literature, which makes automating the research process itself a realistic goal. We present PAPERCLAW, a harnessed multi-agent system that carries a project autonomously, from a field of study to a finished paper. PAPERCLAW curates a domain from a field's live literature, datasets, and code; brainstorms it into an idea with a pre-registered main-result contract; and drives a stoppable hypothesis map through an iterative propose, test, reflect loop that grows only from measured verdicts and halts once the evidence supports the idea, at which point it writes a venue-compliant paper. A full-lifecycle memory keeps each stage in a single living record, so a long run can be paused, inspected, and resumed without losing context. At the centre is an in-cycle research assistant with research tools and skills: it can drive the whole pipeline on its own, while the same interface lets a person step in at any stage, turning a first autonomous draft into a stronger paper through human-in-the-loop refinement. Throughout, PAPERCLAW keeps its output grounded and checkable, citing only references validated against open scholarly indexes and reporting results that genuinely ran. An evaluation with an LLM judge finds that PAPERCLAW produces strong papers both fully autonomously and with human-in-the-loop refinement.</t>
  </si>
  <si>
    <t xml:space="preserve">https://doi.org/10.48550/arxiv.2606.22610</t>
  </si>
  <si>
    <t xml:space="preserve">W7160936993</t>
  </si>
  <si>
    <t xml:space="preserve">SciIntegrity-Bench: A Benchmark for Evaluating Academic Integrity in AI Scientist Systems</t>
  </si>
  <si>
    <t xml:space="preserve">AI scientist systems are increasingly deployed for autonomous research, yet their academic integrity has never been systematically evaluated. We introduce SCIINTEGRITY-BENCH, the first benchmark designed around a dilemmatic evaluation paradigm: each of its 33 scenarios across 11 trap categories is constructed so that honest acknowledgment of failure is the only correct response, while task completion requires misconduct. Across 231 evaluation runs spanning 7 state-of-the-art LLMs, the overall integrity problem rate reaches 34.2%, and no model achieves zero failures. Most strikingly, across missing-data scenarios, all seven models generate synthetic data rather than acknowledging infeasibility, differing only in whether they disclose the substitution. A further prompt ablation study separates two drivers: removing explicit completion pressure sharply reduces undisclosed fabrication from 20.6% to 3.2%, while the underlying synthesis rate remains unchanged, revealing an intrinsic completion bias that persists independent of prompt-level instructions. These findings point to the absence of honest refusal as a trained disposition as the primary driver of observed failures. We release SCIINTEGRITY-BENCH at https://github.com/liuxingtong/Sci-Integrity-Bench.</t>
  </si>
  <si>
    <t xml:space="preserve">https://doi.org/10.48550/arxiv.2605.10246</t>
  </si>
  <si>
    <t xml:space="preserve">W4409349500</t>
  </si>
  <si>
    <t xml:space="preserve">Scaling Laws in Scientific Discovery with AI and Robot Scientists</t>
  </si>
  <si>
    <t xml:space="preserve">Scientific discovery is poised for rapid advancement through advanced robotics and artificial intelligence. Current scientific practices face substantial limitations as manual experimentation remains time-consuming and resource-intensive, while multidisciplinary research demands knowledge integration beyond individual researchers' expertise boundaries. Here, we envision an autonomous generalist scientist (AGS) concept combines agentic AI and embodied robotics to automate the entire research lifecycle. This system could dynamically interact with both physical and virtual environments while facilitating the integration of knowledge across diverse scientific disciplines. By deploying these technologies throughout every research stage -- spanning literature review, hypothesis generation, experimentation, and manuscript writing -- and incorporating internal reflection alongside external feedback, this system aims to significantly reduce the time and resources needed for scientific discovery. Building on the evolution from virtual AI scientists to versatile generalist AI-based robot scientists, AGS promises groundbreaking potential. As these autonomous systems become increasingly integrated into the research process, we hypothesize that scientific discovery might adhere to new scaling laws, potentially shaped by the number and capabilities of these autonomous systems, offering novel perspectives on how knowledge is generated and evolves. The adaptability of embodied robots to extre</t>
  </si>
  <si>
    <t xml:space="preserve">https://doi.org/10.48550/arxiv.2503.22444</t>
  </si>
  <si>
    <t xml:space="preserve">Revised to Y after re-reading against rules (d) and (f): perspective on robot scientists combining agentic AI and embodied robotics.</t>
  </si>
  <si>
    <t xml:space="preserve">W3215518215</t>
  </si>
  <si>
    <t xml:space="preserve">Benchmarking the performance of Bayesian optimization across multiple experimental materials science domains</t>
  </si>
  <si>
    <t xml:space="preserve">Abstract Bayesian optimization (BO) has been leveraged for guiding autonomous and high-throughput experiments in materials science. However, few have evaluated the efficiency of BO across a broad range of experimental materials domains. In this work, we quantify the performance of BO with a collection of surrogate model and acquisition function pairs across five diverse experimental materials systems. By defining acceleration and enhancement metrics for materials optimization objectives, we find that surrogate models such as Gaussian Process (GP) with anisotropic kernels and Random Forest (RF) have comparable performance in BO, and both outperform the commonly used GP with isotropic kernels. GP with anisotropic kernels has demonstrated the most robustness, yet RF is a close alternative and warrants more consideration because it is free from distribution assumptions, has smaller time complexity, and requires less effort in initial hyperparameter selection. We also raise awareness about the benefits of using GP with anisotropic kernels in future materials optimization campaigns.</t>
  </si>
  <si>
    <t xml:space="preserve">https://doi.org/10.1038/s41524-021-00656-9</t>
  </si>
  <si>
    <t xml:space="preserve">W4385566764</t>
  </si>
  <si>
    <t xml:space="preserve">High-Throughput Optogenetics Experiments in Yeast Using the Automated Platform Lustro</t>
  </si>
  <si>
    <t xml:space="preserve">Optogenetics offers precise control over cellular behavior by utilizing genetically encoded light-sensitive proteins. However, optimizing these systems to achieve the desired functionality often requires multiple design-build-test cycles, which can be time-consuming and labor-intensive. To address this challenge, we have developed Lustro, a platform that combines light stimulation with laboratory automation, enabling efficient high-throughput screening and characterization of optogenetic systems. Lustro utilizes an automation workstation equipped with an illumination device, a shaking device, and a plate reader. By employing a robotic arm, Lustro automates the movement of a microwell plate between these devices, allowing for the stimulation of optogenetic strains and the measurement of their response. This protocol provides a step-by-step guide on using Lustro to characterize optogenetic systems for gene expression control in the budding yeast Saccharomyces cerevisiae. The protocol covers the setup of Lustro's components, including the integration of the illumination device with the automation workstation. It also provides detailed instructions for programming the illumination device, plate reader, and robot, ensuring smooth operation and data acquisition throughout the experimental process.</t>
  </si>
  <si>
    <t xml:space="preserve">https://doi.org/10.3791/65686</t>
  </si>
  <si>
    <t xml:space="preserve">W7203949256</t>
  </si>
  <si>
    <t xml:space="preserve">LabDex: A Hierarchical Benchmark for Dexterous Manipulation in Laboratories</t>
  </si>
  <si>
    <t xml:space="preserve">Autonomous laboratories hold great promise for accelerating scientific discovery. To achieve this vision, robots are supposed to dexterously manipulate diverse labware and instruments and execute long-horizon, state-dependent experimental procedures. Yet existing benchmarks do not jointly capture dexterous hand use, real-world laboratory interactions, and multi-stage experimental procedures, limiting systematic training and evaluation. To bridge this gap, we introduce LabDex, a large-scale real-world dataset and benchmark for dexterous manipulation in chemistry laboratories, organized around a hierarchical task taxonomy spanning atomic skills, compositional tasks, and long-horizon experiments. First, LabDex is cross-platform and, for the first time, unifies real-world and simulation platforms under a common framework, providing standardized task definitions, demonstrations, and evaluation protocols. Second, LabDex is large-scale and systematically organizes chemistry laboratory operations into three interconnected levels: Atomic Skills, which characterize fundamental dexterous manipulation capabilities; Compositional Skills; and Long-Horizon Laboratory Workflows. This hierarchical design not only supports the evaluation of end-task performance, but also enables the analysis of how fundamental dexterous skills compose and influence more complex laboratory operations. We conduct cross-level evaluations of representative robot learning methods in both real-world and simulation e</t>
  </si>
  <si>
    <t xml:space="preserve">https://doi.org/10.48550/arxiv.2608.18618</t>
  </si>
  <si>
    <t xml:space="preserve">W4410549543</t>
  </si>
  <si>
    <t xml:space="preserve">Democratizing self-driving labs: advances in low-cost 3D printing for laboratory automation</t>
  </si>
  <si>
    <t xml:space="preserve">Low-cost FDM 3D printing transforms consumer 3D printers into automated lab equipment including liquid handlers, imaging devices, robotic arms, and bioprinters, cutting costs by 90-99% versus commercial alternatives to enable affordable self-driving laboratories.</t>
  </si>
  <si>
    <t xml:space="preserve">https://doi.org/10.1039/d4dd00411f</t>
  </si>
  <si>
    <t xml:space="preserve">W7202049167</t>
  </si>
  <si>
    <t xml:space="preserve">Automated Three-Dimensional Piezoresponse Force Microscopy for Polarization-Vector Mapping at the Nanoscale</t>
  </si>
  <si>
    <t xml:space="preserve">Abstract The functional properties of ferroelectric materials are strongly influenced by their polarization orientation; as such, precise characterization of polarization vectors is important to ferroelectrics research. Here, we develop a fully automated three-dimensional piezoresponse force microscopy (Auto-3DPFM) technique, which integrates all essential steps in interferometric PFM for 3D polarization vector characterization, including laser alignment, tip calibration and approach, image acquisition, polarization vector reconstruction, and visualization. The automation reduces the experimental burden of ferroelectric polarization vector characterization, while continual calibration ensures consistency and reproducibility of 3D polarization reconstruction. An algorithmic workflow is also developed to identify domain walls and calculate their characteristic angles via a spatial vector-angle-difference method, presenting one capability enabled by Auto-3DPFM and inaccessible through traditional PFM techniques. When integrated with machine learning and adaptive sampling strategies in self-driving labs, Auto-3DPFM serves as a valuable tool for advancing ferroelectric physics and microelectronics development.</t>
  </si>
  <si>
    <t xml:space="preserve">https://doi.org/10.1021/acsmaterialslett.6c00558</t>
  </si>
  <si>
    <t xml:space="preserve">W7208744531</t>
  </si>
  <si>
    <t xml:space="preserve">The Epistemic Chain Reaction: Human-AI Multiplication from Questions to Readout-Distinguishable Hypotheses - A Controlled Amplification Architecture for Scientific Discovery</t>
  </si>
  <si>
    <t xml:space="preserve">Series. Paper IV of the Bounded Knower sequence. Paper I: From Problem to Hypothesis (DOI 10.5281/zenodo.22307148). Paper II: Knowledge Topology and the First Passage to Usable Hypotheses (DOI 10.5281/zenodo.22307561). Paper III: Before Evidence Can Decide (DOI 10.5281/zenodo.22307564). Status. GLOSA K0 conceptual and agenda paper - timestamped and citable, not independently reviewed, no priority claim; central augmentation laws remain [Open]. Produced with the glosa methodology (DOI 10.5281/zenodo.22301060); the author's raw lines are in the Blackbox Log (concept DOI 10.5281/zenodo.22302518). Abstract. Readout Universe; Readout Genesis Large language models and multi-agent systems can already generate, critique, rank, refine, and experimentally update scientific hypotheses. Yet the strongest form of human-AI augmentation may not be one-shot idea generation or autonomous replacement of scientists. Building on three companion papers, this manuscript proposes a controlled epistemic chain reaction: a human retains the problem and question, while heterogeneous AI processes recursively decompose the question, traverse distant knowledge structures, generate candidate relations, critique them, collapse readout-equivalent variants, and propagate only new candidate classes that clear declared grounding and discriminability gates. Each retained frontier item can then seed new subquestions or rival hypotheses. A finite epistemic multiplication factor, kepi , is introduced as the number </t>
  </si>
  <si>
    <t xml:space="preserve">https://doi.org/10.5281/zenodo.22308072</t>
  </si>
  <si>
    <t xml:space="preserve">W7204629270</t>
  </si>
  <si>
    <t xml:space="preserve">Active Learning‐Accelerated Discovery of Antifungal Polymers With Self‐Assembly Capacity for Tackling Invasive Fungal Diseases</t>
  </si>
  <si>
    <t xml:space="preserve">ABSTRACT Invasive fungal diseases (IFD) are life‐threatening infections with limited clinical management. Antifungal peptide (AFP)‐mimicking polymers are promising candidates for tackling IFD. However, due to the structural diversity of polymers, it remains a great challenge to discover new polymers with potent antifungal activity and biocompatibility. Herein, we propose a novel active learning‐guided framework PolyCAML for accelerated discovery of antifungal polymers. Inspired by AFPs, we construct a quaternary copolymer library comprising 516,114 combinations with different side chains. By integrating automated synthesis platform, Graph Transformer machine learning model, and greedy algorithm, 11 top‐performing candidates are screened via the Design‐Build‐Test‐Learn (DBTL) intelligent iterative workflow within merely 18 days. Through further data mining, key factors that influence antifungal potency and biocompatibility of polymers are identified. By more rigorous biological evaluation, four target polymers are screened, exhibiting a minimum fungicidal concentration ≤ 8 µg/mL and a 50% inhibitory concentration of L929 cells ≥ 512 µg/mL. These polymers are self‐assembled into positively charged nanoparticles for delivering fluconazole, which exhibit synergistic anti‐biofilm activity by enhanced biofilm penetration. The in vivo therapeutic efficacy is confirmed by a fungemia model and a fungal keratitis model. Overall, we establish a multi‐task intelligent prediction platform</t>
  </si>
  <si>
    <t xml:space="preserve">https://doi.org/10.1002/ange.3008697</t>
  </si>
  <si>
    <t xml:space="preserve">W3196266556</t>
  </si>
  <si>
    <t xml:space="preserve">bletl - A Python Package for Integrating Microbioreactors in the Design-Build-Test-Learn Cycle</t>
  </si>
  <si>
    <t xml:space="preserve">Abstract Microbioreactor (MBR) devices have emerged as powerful cultivation tools for tasks of microbial phenotyping and bioprocess characterization and provide a wealth of online process data in a highly parallelized manner. Such datasets are difficult to interpret in short time by manual workflows. In this study, we present the Python package bletl and show how it enables robust data analyses and the application of machine learning techniques without tedious data parsing and preprocessing. bletl reads raw result files from BioLector I, II and Pro devices to make all the contained information available to Python-based data analysis workflows. Together with standard tooling from the Python scientific computing ecosystem, interactive visualizations and spline-based derivative calculations can be performed. Additionally, we present a new method for unbiased quantification of time-variable specific growth rate based on a novel method of unsupervised switchpoint detection with Student-t distributed random walks. With an adequate calibration model, this method enables practitioners to quantify time-variable growth rate with Bayesian uncertainty quantification and automatically detect switch-points that indicate relevant metabolic changes. Finally, we show how time series feature extraction enables the application of machine learning methods to MBR data, resulting in unsupervised phenotype characterization. As an example, t-distributed Stochastic Neighbor Embedding (t-SNE) is perfo</t>
  </si>
  <si>
    <t xml:space="preserve">https://doi.org/10.1101/2021.08.24.457462</t>
  </si>
  <si>
    <t xml:space="preserve">W7129048997</t>
  </si>
  <si>
    <t xml:space="preserve">Digital infrastructure to support daily high-throughput experimental materials research</t>
  </si>
  <si>
    <t xml:space="preserve">High-throughput and autonomous experimentation generate complex, heterogeneous datasets whose reuse, large-scale analysis, and linking to data from first-principles calculations remain challenging. Here, we report on an operational deployment of the open-source NOMAD Oasis data infrastructure as a digital backbone for daily high-throughput experimental work in a materials discovery group at DTU Nanolab. The customized platform supports the complete experimental workflow in a thin-film laboratory, linking physical inventory items, automated synthesis logs, high-throughput characterization data, and cloud-based analysis within a unified data model. The platform preserves full sample provenance across multi-step workflows and uses unified sample coordinates to enable direct cross-technique correlation. We demonstrate the capabilities of the platform on a combined experimental-computational project centered on phosphosulfide thin-film libraries. The data consists of 12,000 experimental samples acquired during routine operation over 18 months, complemented by more than 800 first-principles calculations - all managed in a unified data platform. We show how an open, extensible data infrastructure system supports reproducible workflows, scalable analysis, and long-term data reuse.</t>
  </si>
  <si>
    <t xml:space="preserve">https://doi.org/10.26434/chemrxiv.15000115/v1</t>
  </si>
  <si>
    <t xml:space="preserve">W4302008280</t>
  </si>
  <si>
    <t xml:space="preserve">Scanning probes as a materials automation platform with extremely miniaturized samples</t>
  </si>
  <si>
    <t xml:space="preserve">https://doi.org/10.1016/j.matt.2022.08.004</t>
  </si>
  <si>
    <t xml:space="preserve">W7215072611</t>
  </si>
  <si>
    <t xml:space="preserve">Noise Conditioned Bayesian Optimization Strategy Selection for Self-Driving Labs</t>
  </si>
  <si>
    <t xml:space="preserve">Abstract Self-driving labs have become a widespread paradigm for automating research and development processes across disciplines such as biology, chemistry, and pharmaceutical research. Such systems combine robotic hardware and software to iteratively optimize experimental outcomes in a closed loop. Noise inherent in sensors and robotic actuation not only affects the speed at which the optimal result is found, but also which optimization strategies perform best. We present a simulation-based methodology to analyze selfdriving lab loops and to select the optimal acquisition function and hyperparameters for Bayesian optimization by incorporating known uncertainty in realistic simulated system behavior. Our results indicate that optimizer selection informed by noise characteristics can significantly reduce the number of required iterations.</t>
  </si>
  <si>
    <t xml:space="preserve">https://doi.org/10.1515/cdbme-2026-0172</t>
  </si>
  <si>
    <t xml:space="preserve">W7214343493</t>
  </si>
  <si>
    <t xml:space="preserve">An In Silico Tool for Rapid and Accessible Training in Self-Driving Laboratory Development</t>
  </si>
  <si>
    <t xml:space="preserve">Self-driving laboratories (SDLs) integrate robotic experimentation and machine learning to autonomously navigate complex chemical and materials search spaces-but their development demands simultaneous mastery of experimental parameterisation, automated measurement, and optimisation...</t>
  </si>
  <si>
    <t xml:space="preserve">https://doi.org/10.1039/d6dd00557h</t>
  </si>
  <si>
    <t xml:space="preserve">Model stage</t>
  </si>
  <si>
    <t xml:space="preserve">Stage correct? (Y/N)</t>
  </si>
  <si>
    <t xml:space="preserve">Correct stage (if N)</t>
  </si>
  <si>
    <t xml:space="preserve">Model domain</t>
  </si>
  <si>
    <t xml:space="preserve">Domain correct? (Y/N)</t>
  </si>
  <si>
    <t xml:space="preserve">Correct domain (if N)</t>
  </si>
  <si>
    <t xml:space="preserve">W7138944805</t>
  </si>
  <si>
    <t xml:space="preserve">Autonomous Laboratories: Redefining Chemical Discovery Through AI and Robotics</t>
  </si>
  <si>
    <t xml:space="preserve">Artificial intelligence (AI) and robotics are rapidly transforming the chemical sciences by automating complex experimental workflows and accelerating discoveries. The emergence of the “RoboChemist” an autonomous chemical laboratory capable of planning, executing, and analyzing experiments with minimal human intervention represents a revolutionary advancement in scientific research. By integrating AI, machine learning (ML), robotics, high-throughput experimentation (HTE), and cloud-based data management, these systems promise improved efficiency, reproducibility, and sustainability in chemical research. This review article explores the concept, architecture, current developments, benefits, limitations, and future perspectives of RoboChemist systems, emphasizing their growing importance in modern chemistry.</t>
  </si>
  <si>
    <t xml:space="preserve">https://doi.org/10.5281/zenodo.18217596</t>
  </si>
  <si>
    <t xml:space="preserve">Prediction or review only</t>
  </si>
  <si>
    <t xml:space="preserve">No material class named</t>
  </si>
  <si>
    <t xml:space="preserve">W7153292058</t>
  </si>
  <si>
    <t xml:space="preserve">Accelerating Multi-Elemental Catalyst Discovery with Interpretable Machine Learning and Automated Experimentation</t>
  </si>
  <si>
    <t xml:space="preserve">Multielemental catalysts (MECs) offer broad compositional freedom for tuning catalytic performance, yet practical optimization is often limited by trial-and-error synthesis and testing. Here we implement a transferable, reproducible closed-loop discovery workflow on a fully commercial robotic automation stack and couple it with machine-learning-guided optimization to accelerate MEC development for tetracycline degradation in a peroxymonosulfate (PMS)-based Fenton-like system. An adaptive-learning genetic algorithm (GA) was used to design an initial campaign of 144 MECs to train a multilayer perceptron (MLP) surrogate model. The GA-MLP closed loop then proposed and experimentally validated 25 additional candidates, identifying four high-performing MECs and increasing tetracycline degradation efficiency from ∼78% in the initial data set to 93% for the best catalyst. To substantiate the executability and reproducibility of the digital recipe, inductively coupled plasma optical emission spectrometry confirmed that recommended precursor ratios were translated into measured catalyst compositions with minor deviations, and catalysts prepared robotically and manually under identical protocols exhibited consistent degradation performance. Finally, SHapley Additive exPlanations (SHAP) analysis enabled model interpretation and revealed nonlinear composition-performance contributions, providing quantitative guidance for metal fraction and promoter loading windows. This work demonstrates </t>
  </si>
  <si>
    <t xml:space="preserve">https://doi.org/10.1021/acsnano.5c20552</t>
  </si>
  <si>
    <t xml:space="preserve">Closed loop</t>
  </si>
  <si>
    <t xml:space="preserve">Catalysis</t>
  </si>
  <si>
    <t xml:space="preserve">W4417104313</t>
  </si>
  <si>
    <t xml:space="preserve">SR-Scientist: Scientific Equation Discovery With Agentic AI</t>
  </si>
  <si>
    <t xml:space="preserve">Recently, Large Language Models (LLMs) have been applied to scientific equation discovery, leveraging their embedded scientific knowledge for hypothesis generation. However, current methods typically confine LLMs to the role of an equation proposer within search algorithms like genetic programming. In this paper, we present SR-Scientist, a framework that elevates the LLM from a simple equation proposer to an autonomous AI scientist that writes code to analyze data, implements the equation as code, submits it for evaluation, and optimizes the equation based on experimental feedback. Specifically, we wrap the code interpreter into a set of tools for data analysis and equation evaluation. The agent is instructed to optimize the equation by utilizing these tools over a long horizon with minimal human-defined pipelines. Empirical results show that SR-Scientist outperforms baseline methods by an absolute margin of 6% to 35% on datasets covering four science disciplines. Additionally, we demonstrate our method's robustness to noise, the generalization of the discovered equations to out-of-domain data, and their symbolic accuracy. Furthermore, we develop an end-to-end reinforcement learning framework to enhance the agent's capabilities.</t>
  </si>
  <si>
    <t xml:space="preserve">https://doi.org/10.48550/arxiv.2510.11661</t>
  </si>
  <si>
    <t xml:space="preserve">W7208778332</t>
  </si>
  <si>
    <t xml:space="preserve">Gemini-Scientibots-AutoSciencePro5: Technical Specification, Architectural Governance &amp; Full-Cycle Workflow Engine</t>
  </si>
  <si>
    <t xml:space="preserve">⚡ TL;DR: Gemini-Scientibots-AutoSciencePro5 is an autonomous scientific platform that streamlines the end-to-end research lifecycle-from hypothesis generation to LaTeX-ready manuscript output-with a unique conditional focus on organic, vegan, and non-synthetic health methodologies. Abstract: This document defines the technical architecture, operational directives, and 4-phase workflow engine governing Gemini-Scientibots-AutoSciencePro5. Designed as an autonomous science platform, the system automates hypothesis generation, gap analysis, experimental SOP synthesis, statistical power analysis, and camera-ready LaTeX manuscript output. It conditionally prioritizes the Organics-First Principle (Non-GMO, zero synthetic toxicants, vegan, Do No Harm) whenever operating in biomedical, nutritional, or health-related domains, while maintaining rigorous empirical and testability standards across general scientific inquiries. Key Takeaways &amp; Executive Highlights Automates the full scientific research lifecycle from hypothesis to publication-ready LaTeX. Implements a 10-step empirical pipeline that enforces falsifiability and rigorous statistical power analysis. Features a domain-specific 'Organics-First' engine for health, medical, and nutritional research. Mandates a 'human-in-the-loop' approach for physical protocol execution and domain interpretation. Ensures bibliographic integrity through embedded, hyperlinked citations without external dependency requirements. Novelties &amp; Core Inno</t>
  </si>
  <si>
    <t xml:space="preserve">https://doi.org/10.5281/zenodo.22299439</t>
  </si>
  <si>
    <t xml:space="preserve">Biomolecules and proteins</t>
  </si>
  <si>
    <t xml:space="preserve">W4413925056</t>
  </si>
  <si>
    <t xml:space="preserve">The qPCRBot: Combining Automated Data Handling, Standardization, and Robotic Labware Transport for Better qPCR Measurements</t>
  </si>
  <si>
    <t xml:space="preserve">Laboratory automation is a key driver for higher efficiency and reproducibility of experiments and measurements in natural science laboratories. One process that is particularly susceptible to both manual errors in the physical handling of labware, faulty data analyses, and incomplete reporting is the quantitative Polymerase Chain Reaction (qPCR). It is a ubiquitous analysis method in biolaboratories to amplify and measure the amount of a specific DNA sequence in a sample. Our system, which we call the qPCRBot, addresses these issues through three key pillars: automating data analysis and handling processes, standardizing data management and system communication protocols, and utilizing a robotic manipulator for labware transport. To achieve this, we developed a SiLA 2-based client-server architecture for unified and standardized access to both the qPCR device and the robot. For the manipulator, we implemented a Cartesian motion generator to ensure proper labware transport. We transform all experiment data to a standardized, XML-based format and integrate a widely-used Laboratory Information Management System for its storage. These developments collectively enable streamlined qPCR measurements without human interaction, thus enhancing both efficiency and reproducibility.</t>
  </si>
  <si>
    <t xml:space="preserve">https://doi.org/10.1109/icra55743.2025.11128567</t>
  </si>
  <si>
    <t xml:space="preserve">Automated execution</t>
  </si>
  <si>
    <t xml:space="preserve">Polymers and soft matter</t>
  </si>
  <si>
    <t xml:space="preserve">W4401129003</t>
  </si>
  <si>
    <t xml:space="preserve">A Custom 3D Printed Permeate Probe Device for Enhanced Membrane Monitoring and Characterization</t>
  </si>
  <si>
    <t xml:space="preserve">Self-driving laboratories and automated experiments can accelerate the design workflow and decrease errors associated with experiments that characterize membrane transport properties. Within this study, we use 3D printing to design a custom stirred cell that incorporates inline conductivity probes in the retentate and permeate streams. The probes provide a complete trajectory of the salt concentrations as they evolve over the course of an experiment. Here, automated diafiltration experiments are used to characterize the performance of commercial NF90 and NF270 polyamide membranes over a predetermined range of KCl concentrations from 1-100 mM. The measurements obtained by the inline conductivity probes are validated using offline post-experiment analyses. Compared to traditional filtration experiments, the probes decrease the amount of time required for an experimentalist to characterize membrane materials by more than 50× and increase the amount of information generated by 100×. Device design principles to address the physical constraints associated with making conductivity measurements in confined volumes are proposed. Overall, the device developed within this study provides a foundation to establish high-throughput, automated membrane characterization techniques.</t>
  </si>
  <si>
    <t xml:space="preserve">https://doi.org/10.26434/chemrxiv-2024-31fl1</t>
  </si>
  <si>
    <t xml:space="preserve">Automated diafiltration across a predetermined concentration range; no adaptive closed loop. Polyamide membrane material.</t>
  </si>
  <si>
    <t xml:space="preserve">W7135223583</t>
  </si>
  <si>
    <t xml:space="preserve">LABSHIELD: A Multimodal Benchmark for Safety-Critical Reasoning and Planning in Scientific Laboratories</t>
  </si>
  <si>
    <t xml:space="preserve">Artificial intelligence is increasingly catalyzing scientific automation, with multimodal large language model (MLLM) agents evolving from lab assistants into self-driving lab operators. This transition imposes stringent safety requirements on laboratory environments, where fragile glassware, hazardous substances, and high-precision laboratory equipment render planning errors or misinterpreted risks potentially irreversible. However, the safety awareness and decision-making reliability of embodied agents in such high-stakes settings remain insufficiently defined and evaluated. To bridge this gap, we introduce LABSHIELD, a realistic multi-view benchmark designed to assess MLLMs in hazard identification and safety-critical reasoning. Grounded in U.S. Occupational Safety and Health Administration (OSHA) standards and the Globally Harmonized System (GHS), LABSHIELD establishes a rigorous safety taxonomy spanning 164 operational tasks with diverse manipulation complexities and risk profiles. We evaluate 20 proprietary models, 9 open-source models, and 3 embodied models under a dual-track evaluation framework. Our results reveal a systematic gap between general-domain MCQ accuracy and Semi-open QA safety performance, with models exhibiting an average drop of 32.0% in professional laboratory scenarios, particularly in hazard interpretation and safety-aware planning. These findings underscore the urgent necessity for safety-centric reasoning frameworks to ensure reliable autonomous s</t>
  </si>
  <si>
    <t xml:space="preserve">https://doi.org/10.48550/arxiv.2603.11987</t>
  </si>
  <si>
    <t xml:space="preserve">W4362679567</t>
  </si>
  <si>
    <t xml:space="preserve">A dynamic Bayesian optimized active recommender system for curiosity-driven Human-in-the-loop automated experiments</t>
  </si>
  <si>
    <t xml:space="preserve">Optimization of experimental materials synthesis and characterization through active learning methods has been growing over the last decade, with examples ranging from measurements of diffraction on combinatorial alloys at synchrotrons, to searches through chemical space with automated synthesis robots for perovskites. In virtually all cases, the target property of interest for optimization is defined apriori with limited human feedback during operation. In contrast, here we present the development of a new type of human in the loop experimental workflow, via a Bayesian optimized active recommender system (BOARS), to shape targets on the fly, employing human feedback. We showcase examples of this framework applied to pre-acquired piezoresponse force spectroscopy of a ferroelectric thin film, and then implement this in real time on an atomic force microscope, where the optimization proceeds to find symmetric piezoresponse amplitude hysteresis loops. It is found that such features appear more affected by subsurface defects than the local domain structure. This work shows the utility of human-augmented machine learning approaches for curiosity-driven exploration of systems across experimental domains. The analysis reported here is summarized in Colab Notebook for the purpose of tutorial and application to other data: https://github.com/arpanbiswas52/varTBO</t>
  </si>
  <si>
    <t xml:space="preserve">https://doi.org/10.48550/arxiv.2304.02484</t>
  </si>
  <si>
    <t xml:space="preserve">Algorithmic selection only</t>
  </si>
  <si>
    <t xml:space="preserve">Thin films and devices</t>
  </si>
  <si>
    <t xml:space="preserve">Active recommender is implemented in real-time on an AFM and optimizes experimental targets; closed-loop status depends on whether the system selects and executes subsequent experiments.</t>
  </si>
  <si>
    <t xml:space="preserve">W4413210988</t>
  </si>
  <si>
    <t xml:space="preserve">Unified Language of Operation Units for Robot-Executable Synthesis Protocols</t>
  </si>
  <si>
    <t xml:space="preserve">https://doi.org/10.1007/978-3-031-95130-5_19</t>
  </si>
  <si>
    <t xml:space="preserve">Organic synthesis and reactions</t>
  </si>
  <si>
    <t xml:space="preserve">Robot-executable protocol language is enabling software/infrastructure; abstract does not report a specific material class or physical execution.</t>
  </si>
  <si>
    <t xml:space="preserve">W7168418921</t>
  </si>
  <si>
    <t xml:space="preserve">Toward autonomous experimentation: Bayesian optimization over problem formulation space for accelerated alloy development</t>
  </si>
  <si>
    <t xml:space="preserve">Accelerated discovery in materials science demands autonomous systems capable of dynamically formulating and solving design problems. In this work, we introduce a novel framework that uses Bayesian optimization over a problem formulation space to identify optimal design formulations in line with decision-maker preferences. By mapping various design scenarios to a multi-attribute utility function, our approach enables the system to balance conflicting objectives-such as ductility, yield strength, density, and solidification range-without requiring an exact problem definition at the outset. We demonstrate the efficacy of our method through an in silico case study on a Mo-Nb-Ti-V-W alloy system targeted for gas turbine engine blade applications. The framework converges on a ‘sweet spot’ that satisfies critical performance thresholds, illustrating that integrating problem formulation discovery into the autonomous design loop can significantly streamline the experimental process. Future work will incorporate human feedback to further enhance the adaptability of the system in real-world experimental settings.</t>
  </si>
  <si>
    <t xml:space="preserve">https://doi.org/10.1016/j.matdes.2026.116585</t>
  </si>
  <si>
    <t xml:space="preserve">Inorganic solids and ceramics</t>
  </si>
  <si>
    <t xml:space="preserve">W7107882416</t>
  </si>
  <si>
    <t xml:space="preserve">MSIL: Multi Stage Inference Layering</t>
  </si>
  <si>
    <t xml:space="preserve">Multi Stage Inference Layering (MSIL) is a reasoning architecture designed to stabilize and deepen multi step inference inside autonomous research agents. MSIL introduces a structured hierarchy of inference stages: generation, expansion, challenge, repair, stabilization, and synthesis, with explicit roles and error checking behavior at each step. Integrated with Reparodynamics, the Targeted Gradient Repair Mechanism (TGRM), and the Repair Yield per Energy (RYE) metric, MSIL produces higher quality hypotheses, lower noise, improved contradiction handling, and greater long horizon reliability in multi agent scientific swarms. This paper defines MSIL formally, describes its integration into Reparodynamic research agents, and explains how MSIL supports eight hour to multi day continuous runs with stability properties that are not available in standard prompt or chain of thought systems. MSIL is presented as an original contribution to autonomous research methodology and as a core component of the Reparodynamics framework.</t>
  </si>
  <si>
    <t xml:space="preserve">https://doi.org/10.5281/zenodo.17729292</t>
  </si>
  <si>
    <t xml:space="preserve">W4417095246</t>
  </si>
  <si>
    <t xml:space="preserve">Training-free active learning framework in materials science with large language models</t>
  </si>
  <si>
    <t xml:space="preserve">Active learning (AL) accelerates scientific discovery by prioritizing the most informative experiments, but traditional machine learning (ML) models used in AL suffer from cold-start limitations and domain-specific feature engineering, restricting their generalizability. Large language models (LLMs) offer a new paradigm by leveraging their pretrained knowledge and universal token-based representations to propose experiments directly from text-based descriptions. Here, we introduce an LLM-based active learning framework (LLM-AL) that operates in an iterative few-shot setting and benchmark it against conventional ML models across four diverse materials science datasets. We explored two prompting strategies: one using concise numerical inputs suited for datasets with more compositional and structured features, and another using expanded descriptive text suited for datasets with more experimental and procedural features to provide additional context. Across all datasets, LLM-AL could reduce the number of experiments needed to reach top-performing candidates by over 70% and consistently outperformed traditional ML models. We found that LLM-AL performs broader and more exploratory searches while still reaching the optima with fewer iterations. We further examined the stability boundaries of LLM-AL given the inherent non-determinism of LLMs and found its performance to be broadly consistent across runs, within the variability range typically observed for traditional ML approaches. T</t>
  </si>
  <si>
    <t xml:space="preserve">https://doi.org/10.1038/s41524-026-02136-4</t>
  </si>
  <si>
    <t xml:space="preserve">Training-free active-learning method is algorithmic selection without reported automated physical execution; domain is general materials-science methods.</t>
  </si>
  <si>
    <t xml:space="preserve">W2132402242</t>
  </si>
  <si>
    <t xml:space="preserve">Intelligent routes to the controlled synthesis of nanoparticles</t>
  </si>
  <si>
    <t xml:space="preserve">We describe an autonomous 'black-box' system for the controlled synthesis of fluorescent nanoparticles. The system uses a microfluidic reactor to carry out the synthesis and an in-line spectrometer to monitor the emission spectra of the emergent particles. The acquired data is fed into a control algorithm which reduces each spectrum to a scalar 'dissatisfaction coefficient' and then intelligently updates the reaction conditions in an effort to minimise this coefficient and so drive the system towards a desired goal. In the tests reported here, CdSe nanoparticles were prepared by separately injecting solutions of CdO and Se into the two inlets of a heated y-shaped microfluidic reactor. A noise-tolerant global search algorithm was then used to efficiently identify-without any human intervention-the injection rates and temperature that yielded the optimum intensity for a chosen emission wavelength.</t>
  </si>
  <si>
    <t xml:space="preserve">https://doi.org/10.1039/b711412e</t>
  </si>
  <si>
    <t xml:space="preserve">Nanomaterials</t>
  </si>
  <si>
    <t xml:space="preserve">W7123254646</t>
  </si>
  <si>
    <t xml:space="preserve">Towards a Self-Driving Lab for Vapor-Liquid Equilibrium Measurements</t>
  </si>
  <si>
    <t xml:space="preserve">https://doi.org/10.3929/ethz-c-000792087</t>
  </si>
  <si>
    <t xml:space="preserve">W4388453243</t>
  </si>
  <si>
    <t xml:space="preserve">Towards a modular architecture for science factories</t>
  </si>
  <si>
    <t xml:space="preserve">Advances in robotic automation, high-performance computing, and artificial intelligence encourage us to propose large, general-purpose science factories with the scale needed to tackle large discovery problems and to support thousands of scientists.</t>
  </si>
  <si>
    <t xml:space="preserve">https://doi.org/10.1039/d3dd00142c</t>
  </si>
  <si>
    <t xml:space="preserve">Modular architecture is presented as an architecture for science factories; no physical experimental loop is evidenced in the supplied record.</t>
  </si>
  <si>
    <t xml:space="preserve">W7140173398</t>
  </si>
  <si>
    <t xml:space="preserve">AI agents in drug discovery: applications and case studies</t>
  </si>
  <si>
    <t xml:space="preserve">• Agentic AI autonomously executes drug discovery workflows by combining language models with specialized tools for perception, computation, action and memory. • Real-world implementations achieve speed improvements, compressing literature analysis from weeks to minutes and assay development from months to hours. • Future integration enables self-driving labs and digital twins, shifting human focus from routine tasks to strategic decisions with appropriate governance frameworks. AI agents are emerging as transformative tools in drug discovery, with the ability to autonomously reason, act and learn through complicated research workflows. Building on large language models and specialized tools, these systems can integrate biomedical data, execute tasks, conduct experiments and iteratively refine hypotheses. We provide a conceptual overview of agentic AI architectures and illustrate their applications across key stages of drug discovery, including literature synthesis, automated protocol generation, toxicity prediction, small-molecule synthesis, drug repurposing and end-to-end decision-making. Early implementations demonstrate substantial gains in speed, reproducibility and scalability. We discuss the challenges related to data heterogeneity, system reliability, privacy, benchmarking and outline future directions toward technology in support of science and translation.</t>
  </si>
  <si>
    <t xml:space="preserve">https://doi.org/10.1016/j.drudis.2026.104650</t>
  </si>
  <si>
    <t xml:space="preserve">W3172457552</t>
  </si>
  <si>
    <t xml:space="preserve">G ryffin : An algorithm for Bayesian optimization of categorical variables informed by expert knowledge</t>
  </si>
  <si>
    <t xml:space="preserve">Designing functional molecules and advanced materials requires complex design choices: tuning continuous process parameters such as temperatures or flow rates, while simultaneously selecting catalysts or solvents. To date, the development of data-driven experiment planning strategies for autonomous experimentation has largely focused on continuous process parameters, despite the urge to devise efficient strategies for the selection of categorical variables. Here, we introduce Gryffin, a general-purpose optimization framework for the autonomous selection of categorical variables driven by expert knowledge. Gryffin augments Bayesian optimization based on kernel density estimation with smooth approximations to categorical distributions. Leveraging domain knowledge in the form of physicochemical descriptors, Gryffin can significantly accelerate the search for promising molecules and materials. Gryffin can further highlight relevant correlations between the provided descriptors to inspire physical insights and foster scientific intuition. In addition to comprehensive benchmarks, we demonstrate the capabilities and performance of Gryffin on three examples in materials science and chemistry: (i) the discovery of non-fullerene acceptors for organic solar cells, (ii) the design of hybrid organic-inorganic perovskites for light-harvesting, and (iii) the identification of ligands and process parameters for Suzuki-Miyaura reactions. Our results suggest that Gryffin, in its simplest form,</t>
  </si>
  <si>
    <t xml:space="preserve">https://doi.org/10.1063/5.0048164</t>
  </si>
  <si>
    <t xml:space="preserve">W7203678919</t>
  </si>
  <si>
    <t xml:space="preserve">AI-Driven Robotic Laboratory Automation for High-Throughput Screening and Automated Synthesis in Drug Discovery: Technologies, Applications, and Future Perspectives</t>
  </si>
  <si>
    <t xml:space="preserve">Introduction: Drug discovery is widely known to be an extremely complex and costly process due to its cost framework, long cycles, and high turnover rates. Robotics and Artificial Intelligence (AI) introduce the world to a disruptive, mechanized, and data analytics paradigm that can accelerate the initial stages of drug development. Materials and Methods: accelerate the initial stages of drug development. Materials and Methods Results: The results show that AI and robotics improve assay reproducibility, optimize chemical reactions, and enable the conversion of a hit into a lead. Automated procedures lead to greater data reliability, less experimental time and cost, and higher success rates. Opening new chemical and biological spaces that were previously unexplored, faster discovery timelines, and an even more efficient allocation of resources are demonstrated in both industrial and academic examples. Discussion: The collaboration of robotics, AIs, and human expertise creates a hybrid workflow, where routine work is automated, freeing investigators to focus on creative and decision-making work. The ongoing barriers include technical constraints, model interpretation issues, financial constraints, legal compliance and ethical considerations, and personnel adjustments. Conclusion: The field of drug discovery is being radically transformed by robotics and AI, allowing scalable, efficient and innovative approaches. A trend towards fully autonomous, self-learning laboratories, incl</t>
  </si>
  <si>
    <t xml:space="preserve">https://doi.org/10.2174/0129503752469903260723075500</t>
  </si>
  <si>
    <t xml:space="preserve">W1792409546</t>
  </si>
  <si>
    <t xml:space="preserve">Characterising Enzymes for Information Processing: Microfluidics for Autonomous Experimentation</t>
  </si>
  <si>
    <t xml:space="preserve">https://doi.org/10.1007/978-3-642-13523-1_24</t>
  </si>
  <si>
    <t xml:space="preserve">W4413306021</t>
  </si>
  <si>
    <t xml:space="preserve">Automating care by self-maintainability for full laboratory automation</t>
  </si>
  <si>
    <t xml:space="preserve">We identify human-dependent “care” tasks as the main barrier to lab automation and propose self-maintainability (SeM)-an autonomous adaptability concept inspired by living cells-to shift these tasks fully onto automated systems.</t>
  </si>
  <si>
    <t xml:space="preserve">https://doi.org/10.1039/d5dd00151j</t>
  </si>
  <si>
    <t xml:space="preserve">W7211937548</t>
  </si>
  <si>
    <t xml:space="preserve">Resource Allocation without Deliberation: Governance Structures in Autonomous Materials Experimentation</t>
  </si>
  <si>
    <t xml:space="preserve">Ultimately, these discussions position IAG as a bridge between technical workflows and conceptual governance, enriching computational materials engineering by interpreting allocation as a core enabler of resilient, unbiased discovery.The Implicit Allocation Governance (IAG) framework advances our understanding of resource allocation in autonomous materials experimentation by interpreting governance as an emergent property of layered computational interactions.Through its structural components-representational substrate, inferential core, and steering envelope-the framework elucidates how decision rights are implicitly distributed, addressing gaps in non-deliberative systems within data-driven paradigms.Feedback loops and steering logics within IAG highlight dynamics that balance epistemic trade-offs, ensuring efficient pipelines amid uncertainties.Analytical implications reveal systemic insights for workflow optimization, while discussions integrate these with literature on closed-loop discoveries, underscoring IAG's potential to enhance interoperability and mitigate risks.This conceptual contribution shifts focus from explicit controls to embedded governance, fostering adaptive infrastructures in computational materials engineering.Future directions may explore IAG's extensions to hybrid systems, though the core emphasis remains on autonomous governance's interpretive power.By formalizing these dynamics, the framework paves pathways for more robust, scalable materials discov</t>
  </si>
  <si>
    <t xml:space="preserve">https://doi.org/10.68159/s759761095</t>
  </si>
  <si>
    <t xml:space="preserve">Governance/resource-allocation analysis, not a demonstrated experimental loop; no specific material class.</t>
  </si>
  <si>
    <t xml:space="preserve">W4413445601</t>
  </si>
  <si>
    <t xml:space="preserve">AI-Driven Autonomous Platforms for Nanomaterial Discovery and Optimization: Bridging Simulation, Synthesis, and In Situ Characterization</t>
  </si>
  <si>
    <t xml:space="preserve">https://doi.org/10.2139/ssrn.5393137</t>
  </si>
  <si>
    <t xml:space="preserve">W7212696404</t>
  </si>
  <si>
    <t xml:space="preserve">Raven: From Scientific Data to Trustworthy Autonomous Discovery</t>
  </si>
  <si>
    <t xml:space="preserve">Transformational AI for science will depend less on isolated model capability than on the quality of the scientific data interfaces surrounding each model. Raven is a state-aware agentic architecture for turning heterogeneous data, simulations, literature, and experiments into auditable discovery decisions. Its central design choice is to represent each step as a typed, provenance-carrying state transition and to expose local models and instruments as verifiable capabilities. A materials-discovery testbed demonstrates how domain-specific data, forward-model verification, and reinforcement learning from verifiable rewards can connect scientific data infrastructure to experimentally testable action. Raven: \url{https://ravenllm.com/}</t>
  </si>
  <si>
    <t xml:space="preserve">https://doi.org/10.5281/zenodo.22755353</t>
  </si>
  <si>
    <t xml:space="preserve">W7136040906</t>
  </si>
  <si>
    <t xml:space="preserve">MOESM3 of A framework for accelerated phototrophic bioprocess development: integration of parallelized microscale cultivation, laboratory automation and Kriging-assisted experimental design</t>
  </si>
  <si>
    <t xml:space="preserve">Additional file 3. Estimated effect of two factor interactions with MgSO4. Estimations are based on the experiments in section “Fractional factorial” using the fractional factorial design and the corresponding measurement data given in Additional material 1.</t>
  </si>
  <si>
    <t xml:space="preserve">https://doi.org/10.6084/m9.figshare.4601002</t>
  </si>
  <si>
    <t xml:space="preserve">Supplementary record for phototrophic bioprocess development; the supplied record does not itself establish a physical closed-loop implementation. Biological cultivation domain.</t>
  </si>
  <si>
    <t xml:space="preserve">W7170858112</t>
  </si>
  <si>
    <t xml:space="preserve">InternLab: A Governed Network of Physically Intelligent Autonomous Laboratories for Open-world Scientific Discovery</t>
  </si>
  <si>
    <t xml:space="preserve">https://doi.org/10.13140/rg.2.2.27446.05440</t>
  </si>
  <si>
    <t xml:space="preserve">W3215311677</t>
  </si>
  <si>
    <t xml:space="preserve">Implications of the BATTERY 2030+ AI‐Assisted Toolkit on Future Low‐TRL Battery Discoveries and Chemistries</t>
  </si>
  <si>
    <t xml:space="preserve">Abstract BATTERY 2030+ targets the development of a chemistry neutral platform for accelerating the development of new sustainable high‐performance batteries. Here, a description is given of how the AI‐assisted toolkits and methodologies developed in BATTERY 2030+ can be transferred and applied to representative examples of future battery chemistries, materials, and concepts. This perspective highlights some of the main scientific and technological challenges facing emerging low‐technology readiness level (TRL) battery chemistries and concepts, and specifically how the AI‐assisted toolkit developed within BIG‐MAP and other BATTERY 2030+ projects can be applied to resolve these. The methodological perspectives and challenges in areas like predictive long time‐ and length‐scale simulations of multi‐species systems, dynamic processes at battery interfaces, deep learned multi‐scaling and explainable AI, as well as AI‐assisted materials characterization, self‐driving labs, closed‐loop optimization, and AI for advanced sensing and self‐healing are introduced. A description is given of tools and modules can be transferred to be applied to a select set of emerging low‐TRL battery chemistries and concepts covering multivalent anodes, metal‐sulfur/oxygen systems, non‐crystalline, nano‐structured and disordered systems, organic battery materials, and bulk vs. interface‐limited batteries.</t>
  </si>
  <si>
    <t xml:space="preserve">https://doi.org/10.1002/aenm.202102698</t>
  </si>
  <si>
    <t xml:space="preserve">Batteries and energy</t>
  </si>
  <si>
    <t xml:space="preserve">W4414004885</t>
  </si>
  <si>
    <t xml:space="preserve">An open-source peristaltic pump with multiple independent channels for laboratory automation</t>
  </si>
  <si>
    <t xml:space="preserve">An open-source peristaltic pump with fully independent channels and quick-swap cassettes was developed to meet the complex liquid handling demands of self-driving labs and modern automated, data-driven experimental setups.</t>
  </si>
  <si>
    <t xml:space="preserve">https://doi.org/10.1039/d5dd00157a</t>
  </si>
  <si>
    <t xml:space="preserve">A laboratory pump is automation-enabling hardware; no algorithmic experiment selection/closed loop is indicated.</t>
  </si>
  <si>
    <t xml:space="preserve">W7219956905</t>
  </si>
  <si>
    <t xml:space="preserve">Hierarchical Planning and Execution for Autonomous Scientific Discovery Agents Using Fast-Slow Reasoning Architectures</t>
  </si>
  <si>
    <t xml:space="preserve">Autonomous scientific discovery agents represent a frontier in artificial intelligence, aiming to accelerate the generation and validation of knowledge across disciplines. This paper introduces a hierarchical planning and execution framework grounded in the cognitive metaphor of fast and slow reasoning, originally articulated by Kahneman and subsequently adapted into computational architectures. The proposed system integrates a rapid, intuitive pattern-matching module for hypothesis generation and anomaly detection with a deliberate, resource-intensive reasoning module for causal inference, experimental design, and theory refinement. A hierarchical controller governs the interplay between these two modes, prioritizing tasks based on epistemic uncertainty, resource constraints, and long-term scientific goals. We examine the architectural trade-offs between speed and accuracy, the governance mechanisms required to ensure robustness and reproducibility, and the infrastructure demands of deploying such agents at scale. The discussion extends to sustainability concerns, including energy consumption and data stewardship, as well as fairness and policy implications arising from automated science. By situating the framework within the broader history of AI and cognitive science, we argue that fast-slow architectures offer a principled path toward trustworthy and efficient autonomous discovery, provided that careful attention is paid to system-level design, oversight, and alignment wi</t>
  </si>
  <si>
    <t xml:space="preserve">https://openalex.org/W7219956905</t>
  </si>
  <si>
    <t xml:space="preserve">Planning/execution agent architecture; no physical experiment reported in the supplied abstract.</t>
  </si>
  <si>
    <t xml:space="preserve">W2899261262</t>
  </si>
  <si>
    <t xml:space="preserve">Precise Polymer Synthesis by Autonomous Self‐Optimizing Flow Reactors</t>
  </si>
  <si>
    <t xml:space="preserve">A novel continuous flow system for automated high-throughput screening, autonomous optimization, and enhanced process control of polymerizations was developed. The computer-controlled platform comprises a flow reactor coupled to size exclusion chromatography (SEC). Molecular weight distributions are measured online and used by a machine-learning algorithm to self-optimize reactions towards a programmed molecular weight by dynamically varying reaction parameters (i.e. residence time, monomer concentration, and control agent/initiator concentration). The autonomous platform allows targeting of molecular weights in a reproducible manner with unprecedented accuracy (&lt;2.5 % deviation from pre-selected goal) for both thermal and light-induced reactions. For the first time, polymers with predefined molecular weights can be custom made under optimal reaction conditions in an automated, high-throughput flow synthesis approach with outstanding reproducibility.</t>
  </si>
  <si>
    <t xml:space="preserve">https://doi.org/10.1002/anie.201810384</t>
  </si>
  <si>
    <t xml:space="preserve">W7169861758</t>
  </si>
  <si>
    <t xml:space="preserve">From Scientific Copilots to Tool-Grounded Autonomy: AI Agents in Simulation-Driven Materials Discovery</t>
  </si>
  <si>
    <t xml:space="preserve">Artificial intelligence (AI) agents and large language model (LLM) agents are beginning to move materials discovery beyond isolated prediction tasks and toward tool-grounded workflows that can retrieve prior knowledge, configure simulations, launch calculations, inspect outputs, and decide what to do next. However, adjacent reviews on materials informatics, self-driving laboratories, natural-language processing in materials science, and autonomous chemistry have not isolated simulation-driven materials workflows as a distinct evidence base. This review addresses that gap through PRISMA-guided searches in Scopus (8 May 2026) and Web of Science (15 June 2026) for English-language journal articles published between 2022 and 2026. The combined search returned 232 records; 27 full texts were assessed and 26 studies were included in the final qualitative synthesis after one full-text exclusion. No eligible study was published in 2022 or 2023, indicating that the field emerged only in 2024 and expanded rapidly in 2025-2026. Catalysis and adsorption tasks (n = 6) and alloy design or evaluation (n = 5) dominated the corpus, while specialized multi-agent architectures were the most common pattern (n = 13). Across the included studies, agentic reasoning was most often coupled to workflow orchestration or integration tools, molecular-dynamics or atomistic simulation environments, and materials-data or machine learning screening pipelines; public repositories or archival artifacts were re</t>
  </si>
  <si>
    <t xml:space="preserve">https://doi.org/10.3390/data11070180</t>
  </si>
  <si>
    <t xml:space="preserve">Simulation-driven materials discovery is computational/software-focused; no single material class is established by the supplied record.</t>
  </si>
  <si>
    <t xml:space="preserve">W4310088401</t>
  </si>
  <si>
    <t xml:space="preserve">CLSLabs-Liquid extends the minimal working example of self-driving laboratories to liquid handling and optical spectroscopy</t>
  </si>
  <si>
    <t xml:space="preserve">A brief idea</t>
  </si>
  <si>
    <t xml:space="preserve">https://doi.org/10.5281/zenodo.7369997</t>
  </si>
  <si>
    <t xml:space="preserve">W4386563364</t>
  </si>
  <si>
    <t xml:space="preserve">Review of Low-cost Self-driving Laboratories: The "Frugal Twin" Concept</t>
  </si>
  <si>
    <t xml:space="preserve">This review proposes the concept of a “frugal twin,” similar to a digital twin, but for physical experiments. Frugal twins range from simple toy examples to low-cost surrogates of high-cost research. For example, a color-mixing self-driving laboratory (SDL) is a low-cost version of a costly multi-step chemical discovery SDL. We need frugal twins because they provide hands-on experience, a test bed for software prototyping (e.g., optimization, data infrastructure), and a low barrier to entry for democratizing SDLs. However, there is room for improvement. The true value of frugal twins can be realized in three core areas. Firstly, hardware and software modularity, secondly, purpose-built design (human-inspired vs. hardware-centric vs. human-in-the-loop), and thirdly state-of-the-art (SOTA) software (e.g., multi-fidelity optimization). We also describe the ethical benefits and risks that come with the democratization of science through frugal twins. In future work, we suggest ideas for new frugal twins, SDL educational course outcomes, and a classification scheme for autonomy levels.</t>
  </si>
  <si>
    <t xml:space="preserve">https://doi.org/10.26434/chemrxiv-2023-6z9mq</t>
  </si>
  <si>
    <t xml:space="preserve">W4415658611</t>
  </si>
  <si>
    <t xml:space="preserve">Accelerating self-driving labs into the future</t>
  </si>
  <si>
    <t xml:space="preserve">Integration and fusion of data will add more autonomy, efficiency, and speed.</t>
  </si>
  <si>
    <t xml:space="preserve">https://doi.org/10.1063/10.0039813</t>
  </si>
  <si>
    <t xml:space="preserve">W4385064779</t>
  </si>
  <si>
    <t xml:space="preserve">Accelerated high-throughput imaging and phenotyping system for small organisms</t>
  </si>
  <si>
    <t xml:space="preserve">Studying the complex web of interactions in biological communities requires large multifactorial experiments with sufficient statistical power. Automation tools reduce the time and labor associated with setup, data collection, and analysis in experiments that untangle these webs. We developed tools for high-throughput experimentation (HTE) in duckweeds, small aquatic plants that are amenable to autonomous experimental preparation and image-based phenotyping. We showcase the abilities of our HTE system in a study with 6,000 experimental units grown across 2,000 treatments. These automated tools facilitated the collection and analysis of time-resolved growth data, which revealed finer dynamics of plant-microbe interactions across environmental gradients. Altogether, our HTE system can run experiments with up to 11,520 experimental units and can be adapted for other small organisms.</t>
  </si>
  <si>
    <t xml:space="preserve">https://doi.org/10.1371/journal.pone.0287739</t>
  </si>
  <si>
    <t xml:space="preserve">W7204786929</t>
  </si>
  <si>
    <t xml:space="preserve">Artificial Intelligence for Lithium-Ion Batteries: Closed-Loop Discovery, State Prediction, and Trustworthy Management</t>
  </si>
  <si>
    <t xml:space="preserve">Artificial intelligence (AI) is transforming lithium-ion battery (LIB) research by linking heterogeneous data, predictive modeling, mechanistic interpretation, and experimental validation within a closed-loop paradigm. AI does not uniquely enable nonlinear representation; rather, it complements electrochemical, statistical, and control models by learning high-dimensional relationships among composition, structure, processing, interfacial chemistry, operating history, and performance. This review critically examines three connected domains: AI-assisted materials discovery, battery state prediction, and trustworthy intelligent management. To distinguish this contribution from recent topic-specific surveys, we organize methods along four complementary axes-model architecture, learning strategy, physics integration, and deployment strategy-and compare landmark studies using quantitative evidence such as independent cell count, validation design, reported error, experimental budget, and closed-loop acceleration. Materials applications include cathodes, anodes, liquid and solid electrolytes, and electrode-electrolyte interphases; operational applications include state of charge, state of health, remaining useful life, degradation diagnosis, safety warning, and digital twin-enabled management. The critical synthesis identifies data leakage, inconsistent metadata, domain shift, uncalibrated uncertainty, black-box reasoning, computational constraints, and limited external validation a</t>
  </si>
  <si>
    <t xml:space="preserve">https://doi.org/10.3390/en19174050</t>
  </si>
  <si>
    <t xml:space="preserve">W4392487712</t>
  </si>
  <si>
    <t xml:space="preserve">Chaining thoughts and LLMs to learn DNA structural biophysics</t>
  </si>
  <si>
    <t xml:space="preserve">The future development of an AI scientist, a tool that is capable of integrating a variety of experimental data and generating testable hypotheses, holds immense potential. So far, bespoke machine learning models have been created to specialize in singular scientific tasks, but otherwise lack the flexibility of a general purpose model. Here, we show that a general purpose large language model, chatGPT 3.5-turbo, can be fine-tuned to learn the structural biophysics of DNA. We find that both fine-tuning models to return chain-of-thought responses and chaining together models fine-tuned for subtasks have an enhanced ability to analyze and design DNA sequences and their structures.</t>
  </si>
  <si>
    <t xml:space="preserve">https://doi.org/10.48550/arxiv.2403.01332</t>
  </si>
  <si>
    <t xml:space="preserve">High-throughput reaction screening with a robotic system and TLC scanner; organic reaction domain is appropriate.</t>
  </si>
  <si>
    <t xml:space="preserve">W4391215091</t>
  </si>
  <si>
    <t xml:space="preserve">Automated self-optimization, intensification, and scale-up of photocatalysis in flow</t>
  </si>
  <si>
    <t xml:space="preserve">The optimization, intensification, and scale-up of photochemical processes constitute a particular challenge in a manufacturing environment geared primarily toward thermal chemistry. In this work, we present a versatile flow-based robotic platform to address these challenges through the integration of readily available hardware and custom software. Our open-source platform combines a liquid handler, syringe pumps, a tunable continuous-flow photoreactor, inexpensive Internet of Things devices, and an in-line benchtop nuclear magnetic resonance spectrometer to enable automated, data-rich optimization with a closed-loop Bayesian optimization strategy. A user-friendly graphical interface allows chemists without programming or machine learning expertise to easily monitor, analyze, and improve photocatalytic reactions with respect to both continuous and discrete variables. The system's effectiveness was demonstrated by increasing overall reaction yields and improving space-time yields compared with those of previously reported processes.</t>
  </si>
  <si>
    <t xml:space="preserve">https://doi.org/10.1126/science.adj1817</t>
  </si>
  <si>
    <t xml:space="preserve">W7117981194</t>
  </si>
  <si>
    <t xml:space="preserve">CASCADE: Cumulative Agentic Skill Creation through Autonomous Development and Evolution</t>
  </si>
  <si>
    <t xml:space="preserve">Large language model (LLM) agents currently depend on predefined tools or early-stage tool generation, limiting their adaptability and scalability to complex scientific tasks. We introduce CASCADE, a self-evolving agentic framework representing an early instantiation of the transition from "LLM + tool use" to "LLM + skill acquisition". CASCADE enables agents to master complex external tools and codify knowledge through two meta-skills: continuous learning via web search, code extraction, and memory utilization; self-reflection via introspection, knowledge graph exploration, and others. We evaluate CASCADE on SciSkillBench, a benchmark of 116 materials science and chemistry research tasks. CASCADE achieves a 93.3% success rate using GPT-5, compared to 35.4% without evolution mechanisms. We further demonstrate real-world applications in computational analysis, autonomous laboratory experiments, and selective reproduction of published papers. Along with human-agent collaboration and memory consolidation, CASCADE accumulates executable skills that can be shared across agents and scientists, moving toward scalable AI-assisted scientific research.</t>
  </si>
  <si>
    <t xml:space="preserve">https://doi.org/10.48550/arxiv.2512.23880</t>
  </si>
  <si>
    <t xml:space="preserve">Agentic skill-creation framework is general software/agent infrastructure, not a biomolecular application.</t>
  </si>
  <si>
    <t xml:space="preserve">W7108324451</t>
  </si>
  <si>
    <t xml:space="preserve">Accelerating Porosity Assessment in Solid Materials via Semi-Automated Platforms</t>
  </si>
  <si>
    <t xml:space="preserve">The design and discovery of porous materials have become a central theme in materials science, driven by their applications in gas storage, separation, carbon capture, and catalysis. Rapid advances in synthetic chemistry, particularly in metal-organic frameworks, porous organic cages, and conjugated microporous polymers, have enabled the generation of increasingly large and diverse material libraries. At the same time, the emergence of automation and data-driven workflows has created unprecedented opportunities for accelerating materials discovery. Despite these advances, the characterization of porosity remains a persistent bottleneck. Conventional gas adsorption methods, although highly reliable, are slow, labor-intensive, and require substantial sample quantities, making them poorly suited to high-throughput or automated environments. This imbalance between synthesis and characterization constrains the efficiency of discovery pipelines and limits the potential of self-driving laboratory concepts. In response to this challenge, this thesis develops two complementary high-throughput pre-screening methodologies for porosity assessment. Chapter 2 develops a multichannel colorimetric dye sorption array that uses dyes of varied size/polarity plus computer-vision analytics to classify porosity from simple images. Chapter 3 applies this method to different classes of materials spanning POCs, CMPs, MOFs and related solids, achieving 98% classification accuracy against gas-uptake be</t>
  </si>
  <si>
    <t xml:space="preserve">https://doi.org/10.17638/03195319</t>
  </si>
  <si>
    <t xml:space="preserve">Semi-automated porosity assessment of solid materials; no closed-loop selection is indicated. The described domain is solid materials, not polymers.</t>
  </si>
  <si>
    <t xml:space="preserve">W7214242201</t>
  </si>
  <si>
    <t xml:space="preserve">Toward autonomous chemical discovery: agentic AI in organic synthesis and nanochemistry</t>
  </si>
  <si>
    <t xml:space="preserve">Conventional approaches to chemical discovery rely heavily on human expertise and experimental trial and error. This makes the process slow and resource-intensive when exploring large chemical spaces and designing novel compounds. Artificial intelligence (AI) has transformed this field by enabling predictive, generative, and increasingly autonomous approaches. In particular, machine learning, deep learning, generative AI, and autonomous laboratories allow systems to predict chemical outcomes, design molecules and synthetic routes, and perform experiments in closed loops. Agentic AI extends these capabilities by allowing AI systems to plan multistep tasks, use external tools, interpret experimental results, and adapt subsequent actions to pursue scientific objectives. These capabilities are being integrated into autonomous AI systems across multiple fields, including organic synthesis, nanochemistry, computational chemistry, robotics, and autonomous experimentation. Together, these developments support a comprehensive review of agentic AI and its potential to enable autonomous chemical discovery. However, existing reviews have primarily examined organic synthesis and nanochemistry separately, without a unified framework for how agentic AI can integrate these domains toward autonomous discovery. In this review, we integrate advances in predictive and generative AI, agentic systems, autonomous laboratories, and related computational and robotic technologies, while distinguishing</t>
  </si>
  <si>
    <t xml:space="preserve">https://doi.org/10.1016/j.rineng.2026.113180</t>
  </si>
  <si>
    <t xml:space="preserve">Broad agentic-AI overview spanning organic synthesis and nanochemistry; no single primary material class is established.</t>
  </si>
  <si>
    <t xml:space="preserve">W7130356745</t>
  </si>
  <si>
    <t xml:space="preserve">Accelerated Emergence of Self-Driving Laboratories for Accelerating Materials Discovery</t>
  </si>
  <si>
    <t xml:space="preserve">The rise of self-driving laboratories (SDLs) marks a transformative era in materials science. By leveraging automation and machine learning, SDLs provide unprecedented opportunities to rapidly explore complex chemical landscapes and accelerate discoveries. In this Outlook, we explore the growth of the global SDL ecosystem in materials science, describe recent advances, and discuss how SDLs are poised to drive more discoveries and accelerate commercialization.</t>
  </si>
  <si>
    <t xml:space="preserve">https://doi.org/10.1021/acscentsci.5c01624</t>
  </si>
  <si>
    <t xml:space="preserve">Broad self-driving-laboratory overview; no specific material class is primary.</t>
  </si>
  <si>
    <t xml:space="preserve">W7204467248</t>
  </si>
  <si>
    <t xml:space="preserve">Robotic safety in self-driving laboratories</t>
  </si>
  <si>
    <t xml:space="preserve">The emergence of autonomous laboratories is accelerating discovery in chemistry, drug discovery, materials science, and related fields by enabling high-throughput, data-driven experimentation. However, the integration of heterogeneous robotic systems, ranging from fixed manipulators to mobile platforms, introduces safety challenges that are not systematically addressed in newly established laboratories. In this context, this work aims to raise awareness of robotic safety among chemists and biologists leading laboratory automation projects who may have limited access to industrial robotics expertise. To support a preliminary evaluation of existing or newly developed automated laboratory systems, we explain and demonstrate the use of a simple, structured safety assessment methodology based on ISO standards and tailored to laboratory environments. The framework combines established robotics safety standards with laboratory-specific considerations, including chemical hazards, human-robot interaction, and dynamic workflows. To facilitate its adoption by scientists, the methodology is illustrated through a case study conducted at the Swiss CAT+ West Hub autonomous laboratory, focusing on a multi-instrument analytical platform integrating collaborative robotic arms and mobile robotic systems. The proposed framework follows a six-step iterative process encompassing system definition, hazard identification, scenario analysis, risk estimation, risk reduction, and validation. Its applic</t>
  </si>
  <si>
    <t xml:space="preserve">https://doi.org/10.1016/j.slast.2026.100463</t>
  </si>
  <si>
    <t xml:space="preserve">Robotic safety work is not itself a demonstrated experimental loop.</t>
  </si>
  <si>
    <t xml:space="preserve">Phase-change memory materials are device-oriented materials; thin films/devices is a better primary domain than generic inorganic solids.</t>
  </si>
  <si>
    <t xml:space="preserve">W7134059863</t>
  </si>
  <si>
    <t xml:space="preserve">Operating advanced scientific instruments with AI agents that learn on the job</t>
  </si>
  <si>
    <t xml:space="preserve">Abstract Advanced scientific user facilities, such as next generation X-ray light sources and self-driving laboratories, are revolutionizing scientific discovery by automating routine tasks and enabling rapid experimentation and characterizations. However, these facilities must continuously evolve to support new experimental workflows, adapt to diverse user projects, and meet growing demands for more intricate instruments and experiments. This continuous development introduces significant operational complexity, necessitating a focus on usability, reproducibility, and intuitive human-instrument interaction. In this work, we explore the integration of agentic AI, powered by Large Language Models (LLMs), as a transformative tool to achieve this goal. We present our approach to developing a human-in-the-loop pipeline for operating advanced instruments including an X-ray nanoprobe beamline and an autonomous robotic station dedicated to the design and characterization of materials. Specifically, we evaluate the potential of various LLMs as trainable scientific assistants for orchestrating complex, multi-task workflows, which also include multimodal data, optimizing their performance through optional human input and iterative learning. We demonstrate the ability of AI agents to bridge the gap between advanced automation and user-friendly operation, paving the way for more adaptable and intelligent scientific facilities.</t>
  </si>
  <si>
    <t xml:space="preserve">https://doi.org/10.1038/s41524-026-02005-0</t>
  </si>
  <si>
    <t xml:space="preserve">AI agents operating scientific instruments indicate instrument automation, but the supplied record does not establish algorithm-selected closed-loop experiments.</t>
  </si>
  <si>
    <t xml:space="preserve">W4402040550</t>
  </si>
  <si>
    <t xml:space="preserve">RABIT, a Robot Arm Bug Intervention Tool for Self-Driving Labs</t>
  </si>
  <si>
    <t xml:space="preserve">Self-driving labs are transforming scientific research and accelerating experimentation using software-controlled lab equipment. These labs are exposed to human errors by inexperienced researchers working in the lab (e.g., setting incorrect target location could cause a robot arm to collide with an expensive piece of equipment). We present RABIT, a Robot Arm Bug Intervention Tool, which (i) allows systematically specifying safety rules across diverse devices and (ii) evaluates and enforces these rules using simulation, a low-fidelity testbed, and a production environment. We report our experience adapting RABIT for the Hein Lab, a state-of-the-art research lab that blends advanced robotics with synthetic organic chemistry.</t>
  </si>
  <si>
    <t xml:space="preserve">https://doi.org/10.1109/dsn58291.2024.00043</t>
  </si>
  <si>
    <t xml:space="preserve">A robot-arm intervention tool for self-driving labs is enabling infrastructure; no particular material class or closed-loop experiment is reported.</t>
  </si>
  <si>
    <t xml:space="preserve">W7137035308</t>
  </si>
  <si>
    <t xml:space="preserve">Human-AI Collaborative Autonomous Experimentation With Proxy Modeling for Comparative Observation</t>
  </si>
  <si>
    <t xml:space="preserve">Optimization for different tasks like material characterization, synthesis, and functional properties for desired applications over multi-dimensional control parameters need a rapid strategic search through active learning such as Bayesian optimization (BO). However, such high-dimensional experimental physical descriptors are complex and noisy, from which realization of a low-dimensional mathematical scalar metrics or objective functions can be erroneous. Moreover, in traditional purely data-driven autonomous exploration, such objective functions often ignore the subtle variation and key features of the physical descriptors, thereby can fail to discover unknown phenomenon of the material systems. To address this, here we present a proxy-modelled Bayesian optimization (px-BO) via on-the-fly teaming between human and AI agents. Over the loop of BO, instead of defining a mathematical objective function directly from the experimental data, we introduce a voting system on the fly where the new experimental outcome will be compared with existing experiments, and the human agents will choose the preferred samples. These human-guided comparisons are then transformed into a proxy-based objective function via fitting Bradley-Terry (BT) model. Then, to minimize human interaction, this iteratively trained proxy model also acts as an AI agent for future surrogate human votes. Finally, these surrogate votes are periodically validated by human agents, and the corrections are then learned by</t>
  </si>
  <si>
    <t xml:space="preserve">https://doi.org/10.48550/arxiv.2603.12618</t>
  </si>
  <si>
    <t xml:space="preserve">W7214328384</t>
  </si>
  <si>
    <t xml:space="preserve">A closed-loop language-model agent for target-specific multi-objective hit-to-lead optimization</t>
  </si>
  <si>
    <t xml:space="preserve">Abstract Hit-to-lead optimization is a multi-objective molecular-design problem in which binding-related scores must be considered together with drug-likeness and synthetic accessibility. We developed a closed-loop language-model medicinal-chemistry agent that combines target and starting-hit context, PubMed retrieval, molecular-property tools, docking, and feedback from previously scored analogues. In a matched computational benchmark comprising six kinase targets, six methods, a 40-candidate budget, and six independent campaigns per method, the agent achieved the highest mean aggregate score under a pre-specified composite objective on four targets. Re-analysis of the same candidate sets with drug-likeness-gated docking and docking-drug-likeness hypervolume produced different target-level winners, showing that evaluation rules can change the comparative interpretation of an optimization campaign. Candidate distributions and component ablations indicated that the agent’s advantage was associated primarily with retention of scored-candidate feedback and higher-QED regions rather than with docking alone. An EGFR case study illustrates a scaffold-preserving in-silico optimization trajectory from erlotinib. The study is a computational benchmark and evaluation framework; the prioritized molecules are hypotheses for subsequent experimental testing, not experimentally validated leads.</t>
  </si>
  <si>
    <t xml:space="preserve">https://doi.org/10.64898/2026.09.19.752921</t>
  </si>
  <si>
    <t xml:space="preserve">Hit-to-lead optimization is a computational medicinal-chemistry application; no physical experiment is evidenced in the supplied record. Medicinal chemistry maps to organic.</t>
  </si>
  <si>
    <t xml:space="preserve">W7203823381</t>
  </si>
  <si>
    <t xml:space="preserve">Transforming Biochemistry with Artificial Intelligence: Applications in Protein Structure Prediction, Drug Discovery, Clinical Diagnostics and Laboratory Automation</t>
  </si>
  <si>
    <t xml:space="preserve">Artificial Intelligence is rapidly transforming the landscape of biochemistry and enabling the smart interpretation of biological complexity in clinical, laboratory, and research settings. The review provides an overview of various applications of AI in molecular modelling, drug discovery, clinical diagnostics, lab automation, and emerging technologies, along with associated challenges, ethical implications, and future research avenues. The literature was searched in the Scopus, Google Scholar, PubMed, and Web of Science databases (2015-2025) using MeSH Terms and keyword combinations. A narrative-systematic synthesis of 312 articles was completed for a total of 95 full-text publications that met the inclusion criteria. From protein structure prediction to biomarker discovery, metabolic pathway analysis, drug design, enzyme engineering, clinical decision support, and many new applications such as synthetic biology and federated learning, AI has made a difference. Moreover, machine learning models achieve high performance in disease risk stratification for most diseases. Although challenges exist in data quality, interpretation, regulation and ethics, AI can offer unprecedented advances in biochemical research, diagnostics and create the capacity to tailor and customise patient care.</t>
  </si>
  <si>
    <t xml:space="preserve">https://doi.org/10.66132/mr2103</t>
  </si>
  <si>
    <t xml:space="preserve">W4384078753</t>
  </si>
  <si>
    <t xml:space="preserve">Phase stability studies on transition metal phosphates aided by an automated synthesis</t>
  </si>
  <si>
    <t xml:space="preserve">An automated synthesis platform was used for the preparation of transition metal phosphate crystals to efficiently explore the multidimensional parameter space, determining the phase selection, crystal sizes, shapes.</t>
  </si>
  <si>
    <t xml:space="preserve">https://doi.org/10.1039/d3ce00386h</t>
  </si>
  <si>
    <t xml:space="preserve">W4308245573</t>
  </si>
  <si>
    <t xml:space="preserve">A perspective on Bayesian methods applied to materials discovery and design</t>
  </si>
  <si>
    <t xml:space="preserve">https://doi.org/10.1557/s43579-022-00288-0</t>
  </si>
  <si>
    <t xml:space="preserve">A perspective on Bayesian methods is a methods review, not a specific inorganic-material application.</t>
  </si>
  <si>
    <t xml:space="preserve">W4388825410</t>
  </si>
  <si>
    <t xml:space="preserve">The Laboratory Automation Protocol (LAP) Format and Repository: A Platform for Enhancing Workflow Efficiency in Synthetic Biology</t>
  </si>
  <si>
    <t xml:space="preserve">Laboratory automation deals with eliminating manual tasks in high-throughput protocols. It therefore plays a crucial role in allowing fast and reliable synthetic biology. However, implementing open-source automation solutions often demands experimental scientists to possess scripting skills, and even when they do, there is no standardized toolkit available for their use. To address this, we present the Laboratory Automation Protocol (LAP) Format and Repository. LAPs adhere to a standardized script-based format, enhancing end-user implementation and simplifying further development. With a modular design, LAPs can be seamlessly combined to create customized, target-specific workflows. Furthermore, all LAPs undergo experimental validation, ensuring their reliability. Detailed information is provided within each repository entry, allowing users to validate the LAPs in their own laboratory settings. We advocate for the adoption of the LAP Format and Repository as a community resource, which will continue to expand, improving the reliability and reproducibility of the automation processes.</t>
  </si>
  <si>
    <t xml:space="preserve">https://doi.org/10.1021/acssynbio.3c00397</t>
  </si>
  <si>
    <t xml:space="preserve">LAP format/repository is workflow software for synthetic biology; no specific material class or physical experiment is reported in this record.</t>
  </si>
  <si>
    <t xml:space="preserve">W7171468500</t>
  </si>
  <si>
    <t xml:space="preserve">The Future of AI in Chemistry</t>
  </si>
  <si>
    <t xml:space="preserve">This chapter looks ahead to emerging capabilities and how chemists can prepare for them. It surveys foundation models for matter that jointly handle molecules, materials, proteins, spectra and text; agentic systems that orchestrate tools and experiments; cloud-native AI pipelines; and pragmatic quantum-classical hybrids. Rather than speculative hype, the chapter anchors these themes in recent signals: AlphaFold 3, ESM-class protein models, AI-designed clinical molecules, scaled materials campaigns, self-driving laboratory blueprints and cloud-hosted retrosynthesis and procedure extraction. It then sets out concrete patterns for “future-ready” practice today: design briefs as code, retrieval-augmented assistants over validated corpora, constraint-first generators, evaluation harnesses for agents, serverless workflows with lineage and cost/CO2 dashboards, and disciplined quantum pilots. Common pitfalls-over-promising, hallucinations, vendor lock-in, governance debt and security gaps-are discussed alongside safeguards and small, bounded starting projects.</t>
  </si>
  <si>
    <t xml:space="preserve">https://doi.org/10.1039/9781837072163-00085</t>
  </si>
  <si>
    <t xml:space="preserve">W1999448229</t>
  </si>
  <si>
    <t xml:space="preserve">In vitro scanning saturation mutagenesis of an antibody binding pocket</t>
  </si>
  <si>
    <t xml:space="preserve">We have combined PCR mutagenesis with in vitro transcription/translation and ELISA for the rapid generation and characterization of antibody mutants. The PCR products are used directly as the template for the in vitro transcription/translation reactions and because no cloning steps are required, the in vitro saturation mutagenesis of one residue can be completed in duplicate within a week by a single investigator. In vitro scanning saturation mutagenesis was used to analyze the role and plasticity of six key contact residues (H:Tyr-33, H:Asn-35, H:Tyr-50, H:Trp-100, L:Val-94, and L:Pro-96) in the binding pocket of a single chain Fv antibody derived from the 26-10 monoclonal antibody. A total of 114 mutant antibodies were produced; all 19 substitutions at each of the 6 chosen positions. The mutants were analyzed for binding to digoxin, digitoxin, digoxigenin, and ouabain resulting in the generation of a comprehensive data base of 456 relative affinity values. Excellent agreement between the relative affinity values obtained with in vitro synthesized mutant antibodies and equilibrium affinity data obtained with previously reported purified mutant monoclonal antibodies was observed. Approximately 75% of the single amino acid mutants exhibited significant binding to one or more of the digoxin analogs. Mutations that alter and, in some cases, reverse specificity for the different digoxin analogs were identified. In vitro scanning saturation mutagenesis represents a new tool for pr</t>
  </si>
  <si>
    <t xml:space="preserve">https://doi.org/10.1073/pnas.94.2.412</t>
  </si>
  <si>
    <t xml:space="preserve">In-vitro saturation mutagenesis reports physical biological experiments; the supplied title does not indicate algorithmic selection or a closed loop.</t>
  </si>
  <si>
    <t xml:space="preserve">W7168406503</t>
  </si>
  <si>
    <t xml:space="preserve">Artificial Intelligence for Science: A critical survey and outlook</t>
  </si>
  <si>
    <t xml:space="preserve">Artificial Intelligence for Science (AI4S) has emerged as a transformative paradigm that fundamentally reshapes modern scientific discovery across physical and material disciplines. This systematic review comprehensively examines recent AI4S advances based on peer-reviewed publications spanning 2024 to 2026, covering atomic, molecular, and optical physics; condensed matter and materials physics; quantum information science; and cross-domain intelligent applications. The surveyed literature consolidates six core research directions: machine learning-enabled spectroscopic analysis (primarily laser-induced breakdown spectroscopy, LIBS), data-driven functional materials discovery and property prediction (including hierarchical neural network-based superconducting critical temperature forecasting), memristor-based neuromorphic devices and hardware-algorithm co-design, intelligent optical communication and quantum information processing, and reinforcement learning-governed complex systems for autonomous experimental exploration. However, persistent challenges remain: data scarcity, the disconnect between physical principles and algorithms, limited generalization ability, and the critical gap between computational prediction and experimental synthesis. Furthermore, the long-term sustainability of AI4S innovation faces systemic barriers including the lack of standardised databases, acute talent shortages, and complex legal and regulatory issues surrounding cross-border data sharing. </t>
  </si>
  <si>
    <t xml:space="preserve">https://doi.org/10.15302/frontphys.2026.071401</t>
  </si>
  <si>
    <t xml:space="preserve">Broad critical survey of AI for science; no single material class is primary.</t>
  </si>
  <si>
    <t xml:space="preserve">W3207989147</t>
  </si>
  <si>
    <t xml:space="preserve">An Open‐Source Modular Framework for Automated Pipetting and Imaging Applications</t>
  </si>
  <si>
    <t xml:space="preserve">The number of samples in biological experiments is continuously increasing, but complex protocols and human error in many cases lead to suboptimal data quality and hence difficulties in reproducing scientific findings. Laboratory automation can alleviate many of these problems by precisely reproducing machine-readable protocols. These instruments generally require high up-front investments, and due to the lack of open application programming interfaces (APIs), they are notoriously difficult for scientists to customize and control outside of the vendor-supplied software. Here, automated, high-throughput experiments are demonstrated for interdisciplinary research in life science that can be replicated on a modest budget, using open tools to ensure reproducibility by combining the tools OpenFlexure, Opentrons, ImJoy, and UC2. This automated sample preparation and imaging pipeline can easily be replicated and established in many laboratories as well as in educational contexts through easy-to-understand algorithms and easy-to-build microscopes. Additionally, the creation of feedback loops, with later pipetting or imaging steps depending on the analysis of previously acquired images, enables the realization of fully autonomous "smart" microscopy experiments. All documents and source files are publicly available to prove the concept of smart lab automation using inexpensive, open tools. It is believed this democratizes access to the power and repeatability of automated experiments.</t>
  </si>
  <si>
    <t xml:space="preserve">https://doi.org/10.1002/adbi.202101063</t>
  </si>
  <si>
    <t xml:space="preserve">General modular pipetting/imaging framework; no specific material class is established.</t>
  </si>
  <si>
    <t xml:space="preserve">W2964525681</t>
  </si>
  <si>
    <t xml:space="preserve">Algorithms for the self-optimisation of chemical reactions</t>
  </si>
  <si>
    <t xml:space="preserve">Self-optimising chemical systems have experienced a growing momentum in recent years. Herein, we review algorithms used for the self-optimisation of chemical reactions in an accessible way for the general chemist.</t>
  </si>
  <si>
    <t xml:space="preserve">https://doi.org/10.1039/c9re00209j</t>
  </si>
  <si>
    <t xml:space="preserve">Review of algorithms for self-optimising chemical reactions; as a methods-focused review, no single material class is primary.</t>
  </si>
  <si>
    <t xml:space="preserve">W4405599065</t>
  </si>
  <si>
    <t xml:space="preserve">SciAgents: Automating Scientific Discovery Through Bioinspired Multi‐Agent Intelligent Graph Reasoning</t>
  </si>
  <si>
    <t xml:space="preserve">A key challenge in artificial intelligence (AI) is the creation of systems capable of autonomously advancing scientific understanding by exploring novel domains, identifying complex patterns, and uncovering previously unseen connections in vast scientific data. In this work, SciAgents, an approach that leverages three core concepts is presented: (1) large-scale ontological knowledge graphs to organize and interconnect diverse scientific concepts, (2) a suite of large language models (LLMs) and data retrieval tools, and (3) multi-agent systems with in-situ learning capabilities. Applied to biologically inspired materials, SciAgents reveals hidden interdisciplinary relationships that were previously considered unrelated, achieving a scale, precision, and exploratory power that surpasses human research methods. The framework autonomously generates and refines research hypotheses, elucidating underlying mechanisms, design principles, and unexpected material properties. By integrating these capabilities in a modular fashion, the system yields material discoveries, critiques and improves existing hypotheses, retrieves up-to-date data about existing research, and highlights strengths and limitations. This is achieved by harnessing a "swarm of intelligence" similar to biological systems, providing new avenues for discovery. How this model accelerates the development of advanced materials by unlocking Nature's design principles, resulting in a new biocomposite with enhanced mechanical</t>
  </si>
  <si>
    <t xml:space="preserve">https://doi.org/10.1002/adma.202413523</t>
  </si>
  <si>
    <t xml:space="preserve">W2756524872</t>
  </si>
  <si>
    <t xml:space="preserve">3D Printed Fluidic Hardware for DNA Assembly</t>
  </si>
  <si>
    <t xml:space="preserve">Abstract : DNA assembly is a foundational technology for synthetic biology. Microfluidics presentan attractive solution for miniaturizing assembly reagent volumes, enabling multiplexedreactions, and interfacing with laboratory automation. However, microfluidicsfabrication and operation can be expensive and require expertise, limiting access to anenabling technology. With advances in commodity digital fabrication tools, it is nowpossible to directly print not only fluidic devices, but supporting hardware as well. 3Dprinted micro- and millifluidics are easy to make, are low cost, and can be rapidlyproduced. Here, we demonstrate Golden Gate DNA assembly in 3D printed fluidics withreaction volumes as small as 500 nL, channel widths as fine as 300 micrometers, anddevice cost ranging from $0.61 to $4.50 per unit. An open-source 3D-printed syringepump with an accompanying programmable software interface was designed andfabricated to operate the devices. Quick turnaround and inexpensive material costsallowed for rapid exploration of device parameters and offers a potentially disruptivemanufacturing paradigm for synthetic biology hardware design and fabrication.</t>
  </si>
  <si>
    <t xml:space="preserve">https://openalex.org/W2756524872</t>
  </si>
  <si>
    <t xml:space="preserve">3D-printed fluidic hardware for DNA assembly is automated/enabling hardware; the record does not indicate a closed-loop selection algorithm.</t>
  </si>
  <si>
    <t xml:space="preserve">W7131476327</t>
  </si>
  <si>
    <t xml:space="preserve">A Robotic Testing Platform for Pipelined Discovery of Resilient Soft Actuators</t>
  </si>
  <si>
    <t xml:space="preserve">Short lifetime under high electrical fields hinders the widespread robotic application of linear dielectric elastomer actuators (DEAs). Systematic scanning is difficult due to time-consuming per-sample testing and the high-dimensional parameter space affecting performance. To address this, we propose an optimization pipeline enabled by a novel testing robot capable of scanning DEA lifetime. The robot integrates electro-mechanical property measurement, programmable voltage input, and multi-channel testing capacity. Using it, we scanned the lifetime of Elastosil-based linear actuators across parameters including input voltage magnitude, frequency, electrode material concentration, and electrical connection filler. The optimal parameter combinations improved operational lifetime under boundary operating conditions by up to 100% and were subsequently scaled up to achieve higher force and displacement output. The final product demonstrated resilience on a modular, scalable quadruped walking robot with payload carrying capacity (&gt;100% of its untethered body weight, and &gt;700% of combined actuator weight). This work is the first to introduce a self-driving lab approach into robotic actuator design.</t>
  </si>
  <si>
    <t xml:space="preserve">https://doi.org/10.1002/advs.77008</t>
  </si>
  <si>
    <t xml:space="preserve">Robotic testing of soft actuators automates physical tests; no adaptive algorithmic selection loop is indicated.</t>
  </si>
  <si>
    <t xml:space="preserve">W7168259598</t>
  </si>
  <si>
    <t xml:space="preserve">Bimodal Learning from Imperfect NMR Data (BLIND): A chemistry-ignorant model for autonomous structure elucidation from NMR</t>
  </si>
  <si>
    <t xml:space="preserve">Automatically inferring molecular structure from analytical measurements is a key step toward closing the loop in autonomous chemical research. Yet it remains challenging, because structurally relevant information is distributed across multiple channels, affected by experimental imperfections, and often insufficient to uniquely define a molecular structure. Here, we present BLIND (Bimodal Learning from Imperfect NMR Data), a bimodal transformer that translates 1H and/or 13C NMR data into molecular structures without any chemical priors, such as molecular formula, elemental composition, or possible fragments. Unlike previous approaches, BLIND is trained exclusively on more than 5.5 million experimental spectra extracted from the chemical literature, learning from the inherent heterogeneity of real-world NMR data. Under fully unconstrained, chemistry-ignorant conditions, BLIND correctly infers the molecular structure, including stereochemistry, in more than half of the chemically diverse test cases and otherwise narrows the solution to only a few plausible candidates. On an independent expert-curated dataset acquired under controlled experimental conditions, the prediction accuracy exceeds 80%. BLIND handles various molecular sizes and structural complexity (up to 130 non-hydrogen atoms) and generalizes across a broad chemical space, including compounds with less common elements, multiple stereocentres, and multiple chemical species. These findings demonstrate that experimental</t>
  </si>
  <si>
    <t xml:space="preserve">https://doi.org/10.26434/chemrxiv.15006080/v1</t>
  </si>
  <si>
    <t xml:space="preserve">NMR structure elucidation is a computational chemistry method; no physical execution or experiment-selection loop is reported. Organic molecular structure is the closest domain.</t>
  </si>
  <si>
    <t xml:space="preserve">W7202372866</t>
  </si>
  <si>
    <t xml:space="preserve">AutoWorldModel-Bench: A State-Centric Benchmark for Automated World-Model Research</t>
  </si>
  <si>
    <t xml:space="preserve">World modeling is an unsettled field: architectures, training objectives, and state representations interact in complex ways, and no single recipe dominates across environments. This makes it an ideal testbed for AI coding agents acting as autonomous researchers--a setting in which the improvement direction is not specified in advance, unlike the engineering-to-spec tasks that dominate current agent benchmarks. We introduce AutoWorldModel-Bench, a closed-loop benchmark in which frontier coding agents autonomously improve a provided base world model under a fixed compute budget. The benchmark spans eight game environments under a unified structured-state representation--ground-truth entity state extracted from each game and consumed through a shared tensor format--which isolates dynamics modeling from perception and enables minutes-per-run iteration. Across 64 sessions, Codex-5.4 and Claude Opus 4.6 improve their base on a held-out test split in all but one session, with about half (33 of 64) a substantial gain ($Δ\geq +0.10$) and the remaining improvements smaller but positive; in 91% of sessions the winning edit is a substantive change to the model or training rather than a hyperparameter tweak. Our benchmark offers a setting in which frontier coding agents can be evaluated on open-ended research rather than engineering-to-spec problems.</t>
  </si>
  <si>
    <t xml:space="preserve">https://doi.org/10.48550/arxiv.2608.11216</t>
  </si>
  <si>
    <t xml:space="preserve">W2069822265</t>
  </si>
  <si>
    <t xml:space="preserve">Reproducible, High-Throughput Synthesis of Colloidal Nanocrystals for Optimization in Multidimensional Parameter Space</t>
  </si>
  <si>
    <t xml:space="preserve">While colloidal nanocrystals hold tremendous potential for both enhancing fundamental understanding of materials scaling and enabling advanced technologies, progress in both realms can be inhibited by the limited reproducibility of traditional synthetic methods and by the difficulty of optimizing syntheses over a large number of synthetic parameters. Here, we describe an automated platform for the reproducible synthesis of colloidal nanocrystals and for the high-throughput optimization of physical properties relevant to emerging applications of nanomaterials. This robotic platform enables precise control over reaction conditions while performing workflows analogous to those of traditional flask syntheses. We demonstrate control over the size, size distribution, kinetics, and concentration of reactions by synthesizing CdSe nanocrystals with 0.2% coefficient of variation in the mean diameters across an array of batch reactors and over multiple runs. Leveraging this precise control along with high-throughput optical and diffraction characterization, we effectively map multidimensional parameter space to tune the size and polydispersity of CdSe nanocrystals, to maximize the photoluminescence efficiency of CdTe nanocrystals, and to control the crystal phase and maximize the upconverted luminescence of lanthanide-doped NaYF(4) nanocrystals. On the basis of these demonstrative examples, we conclude that this automated synthesis approach will be of great utility for the development o</t>
  </si>
  <si>
    <t xml:space="preserve">https://doi.org/10.1021/nl100669s</t>
  </si>
  <si>
    <t xml:space="preserve">Colloidal nanocrystals are nanomaterials, not polymers/soft matter for this domain taxonomy.</t>
  </si>
  <si>
    <t xml:space="preserve">W7127893411</t>
  </si>
  <si>
    <t xml:space="preserve">Bringing ML to the real world: Rewards are all we need</t>
  </si>
  <si>
    <t xml:space="preserve">Realizing the promise of artificial intelligence (AI) to accelerate scientific progress and deliver technological impact depends on how effectively AI can be integrated into real-world decision-making processes. As Peter Norvig states, “Somewhat remarkably, almost all AI research until very recently has assumed that the performance measure can be exactly and correctly specified in the form of a utility or reward function” [S. J. Russell and P. Norvig, Artificial Intelligence: A Modern Approach (Pearson, 2020)]. Once the reward function is known, any problem can be formulated as an optimization or search problem-the areas well explored within the AI community. However, while the long-term objectives of a specific activity are often well defined, constructing short-term rewards that remain aligned with those goals and consistent with real-world constraints remains a major unresolved challenge. Such alignment has been achieved in domains such as chess, Go, and supervised machine learning problems, where objectives are well defined and easily simulated. However, no universal solution exists for defining intermediate rewards for complex, evolving scientific goals, which remains an open challenge. Correspondingly, the key to operationalizing automated instruments, integrating multi-instrument self-driving laboratories, and building geographically distributed research facilities is to generate experiment-aligned, probabilistic, domain-specific reward functions. These rewards must be</t>
  </si>
  <si>
    <t xml:space="preserve">https://doi.org/10.1063/5.0311536</t>
  </si>
  <si>
    <t xml:space="preserve">General ML/reward framing; no experimental loop is demonstrated in the supplied record.</t>
  </si>
  <si>
    <t xml:space="preserve">W2809157146</t>
  </si>
  <si>
    <t xml:space="preserve">ChemOS: Orchestrating autonomous experimentation</t>
  </si>
  <si>
    <t xml:space="preserve">ChemOS aims to catalyze the expansion of autonomous laboratories and to disrupt the conventional approach to experimentation.</t>
  </si>
  <si>
    <t xml:space="preserve">https://doi.org/10.1126/scirobotics.aat5559</t>
  </si>
  <si>
    <t xml:space="preserve">W4412785809</t>
  </si>
  <si>
    <t xml:space="preserve">Geographic-style maps with a local novelty distance help navigate in the materials space</t>
  </si>
  <si>
    <t xml:space="preserve">With the advent of self-driving labs promising to synthesize large numbers of new materials, new automated tools are required for checking potential duplicates in existing structural databases before a material can be claimed as novel. To avoid duplication, we rigorously define the novelty metric of any periodic material as the smallest distance to its nearest neighbor among already known materials. Using ultra-fast structural invariants, all such nearest neighbors can be found within seconds on a typical computer even if a given crystal is disguised by changing a unit cell, perturbing atoms, or replacing chemical elements. This real-time novelty check is demonstrated by finding near-duplicates of the 43 materials produced by Berkeley's A-lab in the world's largest collections of inorganic structures, the Inorganic Crystal Structure Database and the Materials Project. To help future self-driving labs successfully identify novel materials, we propose navigation maps of the materials space where any new structure can be quickly located by its invariant descriptors similar to a geographic location on Earth.</t>
  </si>
  <si>
    <t xml:space="preserve">https://doi.org/10.1038/s41598-025-10672-0</t>
  </si>
  <si>
    <t xml:space="preserve">Novelty-distance mapping is a computational tool for materials-space navigation; no specific material class or physical experiment is reported.</t>
  </si>
  <si>
    <t xml:space="preserve">W7211945289</t>
  </si>
  <si>
    <t xml:space="preserve">From High-Throughput Computation to Autonomous Discovery: A Review of Closed-Loop Data Infrastructures in Materials Engineering</t>
  </si>
  <si>
    <t xml:space="preserve">https://doi.org/10.68159/h935604128</t>
  </si>
  <si>
    <t xml:space="preserve">W7117994819</t>
  </si>
  <si>
    <t xml:space="preserve">EMERGING TRENDS AND THE FUTURE OF NANOMATERIALS IN ELECTRONICS</t>
  </si>
  <si>
    <t xml:space="preserve">This chapter explores the emerging frontiers of nanomaterials in the evolution of modern electronics. It discusses how artificial intelligence (AI) and machine learning (ML) accelerate nanomaterial design by enabling predictive modelling and autonomous experimentation. Advances in quantum nanotechnology are presented as pivotal for realising quantum computing, sensing, and communication systems that surpass classical limitations. The chapter further highlights innovations in self-powered and autonomous electronics driven by nanomaterials for energy harvesting and sustainability. The influence of 5G, the Internet of Things (IoT), and wearable technologies on flexible, multifunctional materials is analysed, emphasising their role in miniaturisation and performance enhancement. Finally, the concept of fully integrated nanoelectronics is examined as a foundation for intelligent, adaptive, and interconnected systems. Together, these developments illustrate how nanomaterials are transforming electronic technologies toward a smarter and more sustainable future.</t>
  </si>
  <si>
    <t xml:space="preserve">https://doi.org/10.64060/978-627-7898-01-4-9</t>
  </si>
  <si>
    <t xml:space="preserve">W188877260</t>
  </si>
  <si>
    <t xml:space="preserve">Low cost autonomous sensing platforms for the direct determination of nutrients in water</t>
  </si>
  <si>
    <t xml:space="preserve">There is a growing need for low cost, remote sensing systems which can be deployed in situ in sufficiently large numbers to ensure that data on key water quality parameters is readily available. The challenges facing this ideal of monitoring include the cost of these platforms and the inability to “deploy and forget” due to limited long term stability and maintenance requirements. Microfluidic technology has great potential as a solution to the increasing demand for environmental monitoring, by producing autonomous chemical sensing platforms at a price level that creates a significant impact on the existing market. The development of sensing platforms for ammonia and nitrate in water and wastewater are being investigated. Our approach is to combine microfluidics with simplified colorimetric chemical assays; low cost LED/photodiode-based optical detection systems; and wireless communications. In order to drive down the cost of these devices, it is vital to keep the fluidic handling requirement as simple as possible, as multistage methods are expensive to implement as well as being less reliable in long-term deployments. Colorimetric methods for nitrate and ammonia have been modified eliminating several steps previously associated with the methods to facilitate their implementation into an autonomous platform, resulting in a rapid and simple measurement procedure.</t>
  </si>
  <si>
    <t xml:space="preserve">https://openalex.org/W188877260</t>
  </si>
  <si>
    <t xml:space="preserve">Autonomous sensing platforms automate in-situ water-quality measurements, not thin-film/device research; no algorithmic selection loop is described.</t>
  </si>
  <si>
    <t xml:space="preserve">W4411887054</t>
  </si>
  <si>
    <t xml:space="preserve">A generalized platform for artificial intelligence-powered autonomous enzyme engineering</t>
  </si>
  <si>
    <t xml:space="preserve">Proteins are the molecular machines of life with numerous applications in energy, health, and sustainability. However, engineering proteins with desired functions for practical applications remains slow, expensive, and specialist-dependent. Here we report a generally applicable platform for autonomous enzyme engineering that integrates machine learning and large language models with biofoundry automation to eliminate the need for human intervention, judgement, and domain expertise. Requiring only an input protein sequence and a quantifiable way to measure fitness, this automated platform can be applied to engineer a wide array of proteins. As a proof of concept, we engineer Arabidopsis thaliana halide methyltransferase (AtHMT) for a 90-fold improvement in substrate preference and 16-fold improvement in ethyltransferase activity, along with developing a Yersinia mollaretii phytase (YmPhytase) variant with 26-fold improvement in activity at neutral pH. This is accomplished in four rounds over 4 weeks, while requiring construction and characterization of fewer than 500 variants for each enzyme. This platform for autonomous experimentation paves the way for rapid advancements across diverse industries, from medicine and biotechnology to renewable energy and sustainable chemistry.</t>
  </si>
  <si>
    <t xml:space="preserve">https://doi.org/10.1038/s41467-025-61209-y</t>
  </si>
  <si>
    <t xml:space="preserve">Autonomous enzyme-engineering platform is described as closed-loop discovery; retain stage and biomolecular domain unless full text contradicts the abstract.</t>
  </si>
  <si>
    <t xml:space="preserve">W4416156409</t>
  </si>
  <si>
    <t xml:space="preserve">Evidence-Bound Autonomous Research (EviBound): A Governance Framework for Eliminating False Claims</t>
  </si>
  <si>
    <t xml:space="preserve">LLM-based autonomous research agents report false claims: tasks marked "complete" despite missing artifacts, contradictory metrics, or failed executions. EviBound is an evidence-bound execution framework that eliminates false claims through dual governance gates requiring machine-checkable evidence. Two complementary gates enforce evidence requirements. The pre-execution Approval Gate validates acceptance criteria schemas before code runs, catching structural violations proactively. The post-execution Verification Gate validates artifacts via MLflow API queries (with recursive path checking) and optionally validates metrics when specified by acceptance criteria. Claims propagate only when backed by a queryable run ID, required artifacts, and FINISHED status. Bounded, confidence-gated retries (typically 1-2 attempts) recover from transient failures without unbounded loops. The framework was evaluated on 8 benchmark tasks spanning infrastructure validation, ML capabilities, and governance stress tests. Baseline A (Prompt-Level Only) yields 100% hallucination (8/8 claimed, 0/8 verified). Baseline B (Verification-Only) reduces hallucination to 25% (2/8 fail verification). EviBound (Dual Gates) achieves 0% hallucination: 7/8 tasks verified and 1 task correctly blocked at the approval gate, all with only approximately 8.3% execution overhead. This package includes execution trajectories, MLflow run IDs for all verified tasks, and a 4-step verification protocol. Research integrity i</t>
  </si>
  <si>
    <t xml:space="preserve">https://doi.org/10.48550/arxiv.2511.05524</t>
  </si>
  <si>
    <t xml:space="preserve">W4386447350</t>
  </si>
  <si>
    <t xml:space="preserve">Autonomous Exploration of an Unexpected Electrode Material for Lithium Batteries</t>
  </si>
  <si>
    <t xml:space="preserve">Significant improvements in experimental efficiency are required to explore new lithium-ion-conducting materials. Autonomous research based on robotic experiments exploring a vast chemical space is expected to resolve this problem. This study demonstrates the autonomous exploration of inorganic films with improved lithium ionic conductivity. The system successfully generated a phase diagram and found a new amorphous Li-ion conductor, Li 1.8 Al 0.03 Ge 0.05 PO 3.3, exhibiting lithium ionic conductivity of approximately 3.4 × 10 -6 S cm -1 at room temperature, showing one order of magnitude higher conductivity than the starting material. Furthermore, we unexpectedly found a mixed conductor, Li 0.81 Al 0.24 Ge 0.61 PO 4.2, which is an electrode material for lithium batteries. The exploration of a large chemical space using an autonomous system enables the discovery of unexpected new materials. We discuss the possibilities of using the autonomous system for further materials exploration.</t>
  </si>
  <si>
    <t xml:space="preserve">https://doi.org/10.1021/acsmaterialslett.3c00350</t>
  </si>
  <si>
    <t xml:space="preserve">Autonomous exploration of electrode materials for lithium batteries is explicitly experimental closed-loop discovery; retain stage and battery domain.</t>
  </si>
  <si>
    <t xml:space="preserve">W4414475428</t>
  </si>
  <si>
    <t xml:space="preserve">Automating quantum computing laboratory experiments with an agent-based AI framework</t>
  </si>
  <si>
    <t xml:space="preserve">Fully automated self-driving laboratories promise high-throughput, large-scale scientific discovery by reducing repetitive labor. However, they require deep integration of laboratory knowledge, which is often unstructured, multimodal, and hard to incorporate into current AI systems. This paper introduces the "k-agents" framework, designed to support experimentalists in organizing laboratory knowledge and automating experiments with agents. The framework uses large-language-model-based agents to encapsulate laboratory knowledge, including available operations and methods for analyzing results. To automate experiments, execution agents break multistep procedures into agent-based state machines, interact with other agents to execute steps, and analyze results. These results drive state transitions, enabling closed-loop feedback control. We demonstrate the system on a superconducting quantum processor, where agents autonomously planned and executed experiments for hours, successfully producing and characterizing entangled quantum states at human-level performance. Our knowledge-based agent system opens new possibilities for managing laboratory knowledge and accelerating scientific discovery.</t>
  </si>
  <si>
    <t xml:space="preserve">https://doi.org/10.1016/j.patter.2025.101372</t>
  </si>
  <si>
    <t xml:space="preserve">Quantum and photonic</t>
  </si>
  <si>
    <t xml:space="preserve">W7153196226</t>
  </si>
  <si>
    <t xml:space="preserve">Bayesian Optimization for Mixed-Variable Problems in the Natural Sciences</t>
  </si>
  <si>
    <t xml:space="preserve">Optimizing expensive black-box objectives over mixed search spaces is a common challenge across the natural sciences. Bayesian optimization (BO) offers sample-efficient strategies through probabilistic surrogate models and acquisition functions. However, its effectiveness diminishes in mixed or high-cardinality discrete spaces, where gradients are unavailable and optimizing the acquisition function becomes computationally demanding. In this work, we generalize the probabilistic reparameterization (PR) approach of Daulton et al. to handle non-equidistant discrete variables, enabling gradient-based optimization in fully mixed-variable settings with Gaussian process (GP) surrogates. With real-world scientific optimization tasks in mind, we conduct systematic benchmarks on synthetic and experimental objectives to obtain an optimized kernel formulations and demonstrate the robustness of our generalized PR method. We additionally show that, when combined with a modified BO workflow, our approach can efficiently optimize highly discontinuous and discretized objective landscapes. This work establishes a practical BO framework for addressing fully mixed optimization problems in the natural sciences, and is particularly well suited to autonomous laboratory settings where noise, discretization, and limited data are inherent.</t>
  </si>
  <si>
    <t xml:space="preserve">https://doi.org/10.48550/arxiv.2604.07416</t>
  </si>
  <si>
    <t xml:space="preserve">W7203889676</t>
  </si>
  <si>
    <t xml:space="preserve">Advances in automated microfluidic platforms with inline metrology and machine learning for the design, synthesis, and optimization of core-shell microstructures</t>
  </si>
  <si>
    <t xml:space="preserve">The rational engineering of core-shell structures provides a versatile strategy for tailoring material properties across applications ranging from catalysis and energy storage to sensing and biomedicine. Their functional performance is governed by interconnected structural parameters, including particle size, shell thickness, porosity, interfacial architecture, and compositional gradients, necessitating precise control over synthesis and characterization. Microfluidic technologies have emerged as powerful platforms for the fabrication of core-shell materials, offering unparalleled control over fluid dynamics, mass transfer, and reaction environments through co-flow, flow-focusing, and step-emulsification architectures. These approaches enable the reproducible fabrication of highly monodisperse core-shell structures with tunable compositions and morphologies. Recent advances in automated microfluidic systems have integrated inline characterization tools, including optical, spectroscopic, electrical, and electrochemical sensing, enabling real-time monitoring of particle formation and material evolution. When integrated with data-driven closed-loop feedback control, these platforms have reduced droplet size variation to below 2% and prediction errors to less than 10%, demonstrating exceptional process reproducibility while substantially accelerating optimization and autonomous experimental decision-making. Beyond process control, machine learning is increasingly leveraged to est</t>
  </si>
  <si>
    <t xml:space="preserve">https://doi.org/10.1016/j.mtchem.2026.103934</t>
  </si>
  <si>
    <t xml:space="preserve">Core-shell microstructures are a nanomaterial application; catalysis is not supported as the primary domain by the supplied title/abstract.</t>
  </si>
  <si>
    <t xml:space="preserve">W7154489826</t>
  </si>
  <si>
    <t xml:space="preserve">VERITAS: A Multi-Agent Co-Scientist for Verifiable Image-Derived Hypothesis Testing</t>
  </si>
  <si>
    <t xml:space="preserve">Scientific research based on multimodal clinical data (including medical imaging) requires coordinating clinical, radiological, programming, and biostatistical expertise, a fragmented process that bottlenecks discovery. We present VERITAS (Verifiable Epistemic Reasoning for Image-Derived Hypothesis Testing via Agentic Systems), a clinical co-scientist: a multi-agent system that autonomously tests natural-language hypotheses and produces a fully auditable evidence trail, tracing every conclusion through executable outputs from analysis plan to segmentation masks to statistical code to final verdict. Unlike prior AI-scientist systems, which mainly operate on tabular or text data, VERITAS grounds autonomous discovery directly in medical images. It decomposes the workflow into four phases handled by role-specialized agents, and introduces an epistemic evidence label framework that mechanically classifies outcomes as Supported, Refuted, Underpowered, or Invalid by jointly evaluating significance, effect direction, and study power. This distinction is critical in medical imaging, where non-significant results often reflect insufficient sample size rather than absent effects. We construct a tiered benchmark of 64 hypotheses spanning six complexity levels across cardiac and brain glioma MRI datasets. VERITAS reaches 81.4% verdict accuracy with frontier models and 71.2% with locally-hosted open-weight models (8-30B), outperforming all single-model baselines in both classes. It also pr</t>
  </si>
  <si>
    <t xml:space="preserve">https://doi.org/10.48550/arxiv.2604.12144</t>
  </si>
  <si>
    <t xml:space="preserve">W7212027266</t>
  </si>
  <si>
    <t xml:space="preserve">Exploring the Genesis Platform Capabilities to Accelerate Scientific Discovery in OPAL</t>
  </si>
  <si>
    <t xml:space="preserve">Autonomous, cross-facility science requires capabilities that no individual project should have to build for itself: managed execution for long-lived services, versioned distribution of models to remote compute systems, governed access to large language models, a shared substrate for experimental data, and end-to-end provenance. The U.S. Department of Energy Genesis Mission platform, delivered through the American Science Cloud, provides these as reusable services. This paper reports how the Genesis platform enables cross-facility experiments and accelerates scientific discovery. We explore the plant phenotyping workflow of the Orchestrated Platform for Autonomous Laboratories as the exemplar: it couples Oak Ridge National Laboratory's Advanced Plant Phenotyping Laboratory with the Frontier supercomputer. In a 40-day nickel-treatment campaign, the resulting workflow replaced roughly twelve hours of manual analysis with interactive queries returning in seconds to minutes.</t>
  </si>
  <si>
    <t xml:space="preserve">https://doi.org/10.48550/arxiv.2609.08844</t>
  </si>
  <si>
    <t xml:space="preserve">W7154499347</t>
  </si>
  <si>
    <t xml:space="preserve">Agentic LLM Reasoning in a Self-Driving Laboratory for Air-Sensitive Lithium Halide Spinel Conductors</t>
  </si>
  <si>
    <t xml:space="preserve">Self-driving laboratories promise to accelerate materials discovery. Yet current automated solid-state synthesis platforms are limited to ambient conditions, thereby precluding their use for air-sensitive materials. Here, we present A-Lab for Glovebox Powder Solid-state Synthesis (A-Lab GPSS), a robotic platform capable of synthesizing and characterizing air-sensitive inorganic materials under strict air-free conditions. By integrating an agentic AI framework into the A-Lab GPSS platform, we structure autonomous experimental design through abductive and inductive reasoning. We deploy this platform to explore the vast compositional space of lithium halide spinel solid-state ionic conductors. Across a synthesis campaign comprising 352 samples with diverse compositions, the system explores a broad chemical space, experimentally realizing 72% of the 171 possible pairwise combinations among the 19 metals considered in this study. Over the course of the campaign, the fraction of compositions exhibiting both good ionic conductivity (&gt; 0.05 mS/cm) and high halide spinel phase purity increases from 1.33% in the first 75 agent-proposed samples to 5.33% in the final 75. Furthermore, by inspecting the AI's reasoning processes, we reveal distinct yet complementary discovery strategies: abductive reasoning interrogates abnormal observations within already explored regions, whereas inductive reasoning expands the search into broader, previously unvisited chemical space. This work establishe</t>
  </si>
  <si>
    <t xml:space="preserve">https://doi.org/10.48550/arxiv.2604.11957</t>
  </si>
  <si>
    <t xml:space="preserve">W3113609262</t>
  </si>
  <si>
    <t xml:space="preserve">EuroMoonMars Workshop 2018: a pilot study on a semi-autonomous laboratory module for analogue simulations</t>
  </si>
  <si>
    <t xml:space="preserve">https://openalex.org/W3113609262</t>
  </si>
  <si>
    <t xml:space="preserve">W7211914410</t>
  </si>
  <si>
    <t xml:space="preserve">La Agente Óptima: Towards Agentic Self-Driving Laboratories</t>
  </si>
  <si>
    <t xml:space="preserve">Self-driving laboratories (SDLs) combine automated experimentation with adaptive decision-making to accelerate scientific discovery. Their operation nevertheless often depends on human specialists who translate scientific objectives into executable closed-loop campaigns. Specialists adjust them as data and operating conditions change. Here, we present La Agente Óptima, an agentic framework that constructs and supervises Bayesian optimization campaigns across computational and experimental systems while maintaining a persistent optimization state. By separating large language model (LLM) reasoning from executed campaigns, Óptima runs repetitive optimization loops consistently, returns control to the agent only when progress requires interpretation or campaign revision, and keeps every decision auditable. We evaluate Óptima across ablation studies, five digital discovery tasks, and two physical platforms. Throughout, Óptima maintained executable campaigns as both the scientific problem and execution environment evolved. In a closed-loop contact angle optimization campaign, Óptima identified and corrected a mid-run measurement failure, bringing the contact angle from 71.4 to 67.8 degrees, just above the 64-66 degree range. From this result, Óptima correctly inferred that the target was likely unattainable with the available reagents and recommended changing the formulation. In a five-day multi-objective flow-chemistry campaign, Óptima increased the yield from 30% to 59% over 23 </t>
  </si>
  <si>
    <t xml:space="preserve">https://doi.org/10.48550/arxiv.2609.04564</t>
  </si>
  <si>
    <t xml:space="preserve">W7214093183</t>
  </si>
  <si>
    <t xml:space="preserve">Autonomous Quantum Transport Measurements of 2D Semiconductors by an AI Agent</t>
  </si>
  <si>
    <t xml:space="preserve">Artificial-intelligence (AI) agents are beginning to enter experimental laboratories, automating experiments and accelerating scientific discovery. Herein, we introduce an AI-driven workflow in which an AI agent performs multi-step, multi-day quantum transport measurements end-to-end. Specifically, given brief instructions, the agent starts by planning the multi-step measurements, then safely operates the cryogenic instruments, analyzes the data, and concludes with a final report. We demonstrate this AI workflow on multiple monolayer and bilayer MoS2 devices. Through autonomous measurement campaigns lasting up to six days, the agent determined the conduction-band spin-orbit coupling energy in monolayer MoS2, and mapped a layer- and valley-resolved phase diagram in bilayer MoS2. This experimental workflow is implemented through the FermiLink agent harness, which emphasizes instrumental safety and the reliability of the measurement and analysis. The framework is general and can be readily adapted to other types of experiments, representing a step toward self-driving laboratories.</t>
  </si>
  <si>
    <t xml:space="preserve">https://doi.org/10.48550/arxiv.2609.26661</t>
  </si>
  <si>
    <t xml:space="preserve">W7162206319</t>
  </si>
  <si>
    <t xml:space="preserve">Ontological Bias in Automated Chemistry: How Algorithms Reproduce Inherited Classifications and Freeze the Categories of the Chemical World</t>
  </si>
  <si>
    <t xml:space="preserve">This preprint develops a contemporary philosophical and epistemological critique of the automated chemistry revolution and Self-Driving Laboratories (SDLs). We introduce the concept of Procedural Ontological Bias (POB) the structural tendency of machine learning architectures to operationalize historically inherited, contingent classifications as an exhaustive discovery space, thereby freezing the categories of the chemical world and constraining the emergence of unconceived kinds. Blending data-centric epistemology with the philosophy of chemistry, the paper substantiates these claims through three realistic case studies (AlphaFold’s handling of IDPs, curation errors in the ChEBI ontology, and Novartis's MicroCycle platform) and discusses structural countermeasures, concluding with a policy proposal for an institutional "Ontological Review Function."</t>
  </si>
  <si>
    <t xml:space="preserve">https://doi.org/10.5281/zenodo.20359869</t>
  </si>
  <si>
    <t xml:space="preserve">W7154257979</t>
  </si>
  <si>
    <t xml:space="preserve">Autonomous closed-loop framework for reproducible perovskite solar cells</t>
  </si>
  <si>
    <t xml:space="preserve">https://doi.org/10.1038/s41586-026-10482-y</t>
  </si>
  <si>
    <t xml:space="preserve">Perovskite solar cells are photovoltaic devices; the workbook taxonomy explicitly groups photovoltaics under batteries and energy.</t>
  </si>
  <si>
    <t xml:space="preserve">W3114025188</t>
  </si>
  <si>
    <t xml:space="preserve">Convergence of multiple synthetic paradigms in a universally programmable chemical synthesis machine</t>
  </si>
  <si>
    <t xml:space="preserve">https://doi.org/10.1038/s41557-020-00596-9</t>
  </si>
  <si>
    <t xml:space="preserve">A programmable chemical synthesis machine performs physical synthesis; the supplied record does not establish algorithm-selected closed-loop execution.</t>
  </si>
  <si>
    <t xml:space="preserve">W4407953715</t>
  </si>
  <si>
    <t xml:space="preserve">Atlas: a brain for self-driving laboratories</t>
  </si>
  <si>
    <t xml:space="preserve">Self-driving laboratories (SDLs) are next-generation research and development platforms for closed-loop, autonomous experimentation that combine ideas from artificial intelligence, robotics, and high-performance computing.</t>
  </si>
  <si>
    <t xml:space="preserve">https://doi.org/10.1039/d4dd00115j</t>
  </si>
  <si>
    <t xml:space="preserve">Atlas is an SDL orchestration/architecture paper; no specific material class is primary.</t>
  </si>
  <si>
    <t xml:space="preserve">W7203622340</t>
  </si>
  <si>
    <t xml:space="preserve">Bayesian Conavigation of a Computational Physical Model and Atomic Force Microscopy Experiment to Autonomously Survey a Combinatorial Materials Library</t>
  </si>
  <si>
    <t xml:space="preserve">Building autonomous experiment workflows requires transcending data-driven surrogate models to incorporate and dynamically refine physical theory during exploration. Here we demonstrate the fully automated experimental realization of Bayesian conavigation─a framework in which an autonomous agent simultaneously runs a physical experiment and a computationally expensive physical model. Using an automated Atomic Force Microscopy (AFM) platform coupled to a kinetic Monte Carlo (kMC) model of thin-film growth, the system infers a set of effective bond energies for the (CrTaWV)x-Mo(1-x) pseudobinary combinatorial library, progressively adjusting the kMC parameters to decrease the epistemic disparity between simulation and experiment. This real-time theoretical refinement enables the kMC model to capture the behavior of the specific materials system and reveals the mechanistic role of heterobonding in governing surface diffusion. Together, these results establish conavigation as a general strategy for tightly integrating physical models with autonomous experimental platforms to produce interpretable and continually self-correcting theoretical modeling of complex materials systems.</t>
  </si>
  <si>
    <t xml:space="preserve">https://doi.org/10.1021/acsnano.6c03268</t>
  </si>
  <si>
    <t xml:space="preserve">W7170095250</t>
  </si>
  <si>
    <t xml:space="preserve">VirtualLab_CC: An LLM-augmented virtual laboratory for automated computational chemistry research</t>
  </si>
  <si>
    <t xml:space="preserve">Recent advances in large language models (LLMs) have opened new avenues for automating scientific research workflows. Systems like the AI Scientist [1] demonstrate fully autonomous end-to-end research pipelines for machine learning, but their applicability to domains requiring expensive high-performance computing (HPC) resources, specialized quantum chemistry software, and rigorous thermochemical accuracy remains unexplored. Here we present VirtualLab_CC, a hybrid LLM-augmented virtual laboratory for computational chemistry that integrates Claude (Anthropic) as an orchestration layer with a multi-agent architecture, gated lifecycle management, and bidirectional HPC cluster synchronization. Unlike fully autonomous systems, VirtualLab_CC enforces human-in-the-loop quality gates at every critical decision point while automating routine operations: conformer searches, input generation, job submission and monitoring, output parsing, failure diagnosis, and manuscript preparation. The system manages 25 specialized skills spanning literature review, cluster operations, result extraction, novelty verification, AI-assisted peer review, and citation validation. We demonstrate VirtualLab_CC on a prototype case study of 1,3-dipolar cycloadditions between stabilized Criegee intermediates and biogenic terpene dipolarophiles, involving 17 molecular species, 34 conformers, and over 100 SLURM jobs across multiple calculation stages. The system automatically flagged a methodologically suspect r</t>
  </si>
  <si>
    <t xml:space="preserve">https://doi.org/10.1016/j.aichem.2026.100129</t>
  </si>
  <si>
    <t xml:space="preserve">Continuous-flow chemistry is a chemical synthesis/reaction application; catalysis is not established as the primary domain by the supplied record.</t>
  </si>
  <si>
    <t xml:space="preserve">W4316923841</t>
  </si>
  <si>
    <t xml:space="preserve">The INTERSECT Open Federated Architecture for the Laboratory of the Future</t>
  </si>
  <si>
    <t xml:space="preserve">https://doi.org/10.1007/978-3-031-23606-8_11</t>
  </si>
  <si>
    <t xml:space="preserve">W4388657873</t>
  </si>
  <si>
    <t xml:space="preserve">Chemical Reagent Localization and Recognition Algorithm for Robot Chemists Based on YOLOv5 and CRNN</t>
  </si>
  <si>
    <t xml:space="preserve">Abstract Artificial intelligence and robotics are increasingly used in chemical experiments for reagent preparation, but it is still a challenge to accurately grasp the reagent bottle in small and dense scenarios. Therefore, precise positioning and identification of the reagent bottles are crucial. However, the different kinds of chemical reagents create complexity in target detection, making the task difficult. Therefore, we propose a model, named TA-YOLOv5, based on YOLOv5 for the task of chemical reagent localization. To enrich our dataset and prevent single-background overfitting, we employed Mosaic and Mix-Up data augmentation during dataset processing. Furthermore, Transformer Encoder and Coordinate Attention modules are utilized to enhance the feature expressive ability for both small target objects and global information during model training. Finally, the CIoU-NMS algorithm is utilized to optimize prediction box filtering in dense scenarios. In addition, for the task of chemical reagent classification, this paper uses the CRNN (Convolutional Recurrent Neural Network) algorithm to identify character information on the label of the reagent bottle, enabling the successful classification of the reagent bottle. The experimental results illustrate that TA-YOLOv5 achieves 98.49% precision on the self-made reagent bottles dataset, which is 4.12% higher than the YOLOv5 network model. Moreover, the CRNN network reached 97.6% accuracy on IIIT 5k dataset.</t>
  </si>
  <si>
    <t xml:space="preserve">https://doi.org/10.1088/1742-6596/2632/1/012002</t>
  </si>
  <si>
    <t xml:space="preserve">Reagent localization/recognition is a perception algorithm; the supplied record does not demonstrate automated experimental execution or name a material class.</t>
  </si>
  <si>
    <t xml:space="preserve">W3215361137</t>
  </si>
  <si>
    <t xml:space="preserve">Towards Futuristic Autonomous Experimentation--A Surprise-Reacting Sequential Experiment Policy</t>
  </si>
  <si>
    <t xml:space="preserve">An autonomous experimentation platform in manufacturing is supposedly capable of conducting a sequential search for finding suitable manufacturing conditions by itself or even for discovering new materials with minimal human intervention. The core of the intelligent control of such platforms is a policy to decide where to conduct the next experiment based on what has been done thus far. Such policy inevitably trades off between exploitation and exploration. Currently, the prevailing approach is to use various acquisition functions in the Bayesian optimization framework. We discuss whether it is beneficial to trade off exploitation versus exploration by measuring the element and degree of surprise associated with the immediate past observation. We devise a surprise-reacting policy using two existing surprise metrics, known as the Shannon surprise and Bayesian surprise. Our analysis shows that the surprise-reacting policy appears to be better suited for quickly characterizing the overall landscape of a response surface under resource constraints. We do not claim that we have a fully autonomous experimentation system but believe that the surprise-reacting capability benefits the automation of sequential decisions in autonomous experimentation.</t>
  </si>
  <si>
    <t xml:space="preserve">https://doi.org/10.48550/arxiv.2112.00600</t>
  </si>
  <si>
    <t xml:space="preserve">W7214038735</t>
  </si>
  <si>
    <t xml:space="preserve">AutoRASOR: Autonomous Rapid Scanning Electron Microscope Operator</t>
  </si>
  <si>
    <t xml:space="preserve">Scanning Electron Microscopy (SEM) is a foundational technique for characterizing material microstructure, which dictates many fundamental physical and chemical properties. With the rise of Self-Driving Labs (SDLs), samples are now synthesized in large batches, demanding equally high-throughput, autonomous characterization. Existing automated electron microscopy pipelines are task-specific: they detect pre-defined features, optimize known properties, or require prior knowledge of the sample, restricting each pipeline to the material system it was built for. We introduce AutoRASOR, a task-agnostic autonomous SEM pipeline that captures the multi-scale morphology of an unknown sample without domain-specific pre-training, fine-tuning, or human prompting. AutoRASOR embeds micrographs in real time with a vision foundation model (VFM), DINOv3, and selects regions of interest (ROIs) through two complementary policies: Latent Farthest Point Sampling (LFPS) and active learning on morphological ambiguity, which is the conditional variance of unresolved fine-scale features given lower magnification appearance. Active learning on ambiguity consistently captures more diverse and rare morphologies than random ROI selection, while LFPS reliably recovers the specimen's morphological distribution within a limited capture budget, tested both on real SEM micrographs and synthetic phase-field images. By shifting autonomous characterization from pre-defined, task-specific targeting of features to </t>
  </si>
  <si>
    <t xml:space="preserve">https://doi.org/10.48550/arxiv.2609.22411</t>
  </si>
  <si>
    <t xml:space="preserve">AutoRASOR is an automated SEM operator; automated instrument execution is supported, and no specific material class is named.</t>
  </si>
  <si>
    <t xml:space="preserve">W7134256553</t>
  </si>
  <si>
    <t xml:space="preserve">Nikolas: Autonomous Discovery of Novel EGFR Kinase Inhibitors via the PRISM Meta-Cognitive Architecture</t>
  </si>
  <si>
    <t xml:space="preserve">Discovering targeted small-molecule therapeutics requires navigating a chemical space exceeding 10 60 drug-like compounds-a process traditionally demanding years of iterative synthesis and screening. We present Nikolas, a semi-autonomous AI agent powered by PRISM (Persistent Recursive Intelligence with Structured Metacognition)-a domainagnostic 5-layer meta-cognitive architecture that enables emergent chemical intuition through hierarchical memory and recursive self-reflection. Previously validated on inorganic CO 2 reduction catalysis, PRISM is applied here to de novo EGFR kinase inhibitor design for non-small cell lung cancer. The pipeline integrates GPT-5.2 for generative molecular reasoning, RDKit for multi-objective drug-likeness validation, and AutoDock Vina for physics-based docking against PDB: 1M17. In 20 autonomous iterations, Nikolas generated 13 valid drug-like molecules, 12 achieving "Excellent" binding affinities (∆G &lt; −9.0 kcal/mol). The champion (∆G = −9.67 kcal/mol, Drug Score 95/100) surpasses Erlotinib (∆G ≈ −9.5 kcal/mol) with confirmed Met793 hydrogen bonding. Cross-referencing against PubChem (115M+ compounds) and ChEMBL (2.4M+ bioactive molecules) confirmed 4 of 5 top candidates are Novel Chemical Entities. Tanimoto analysis (T c = 0.183-0.474 vs. approved TKIs) confirms structurally distinct scaffolds. All candidates exhibit ideal ADMET profiles: zero Lipinski violations, high GI absorption, and SA scores of 2.2-2.5.</t>
  </si>
  <si>
    <t xml:space="preserve">https://doi.org/10.26434/chemrxiv.15000705/v1</t>
  </si>
  <si>
    <t xml:space="preserve">EGFR kinase inhibitor discovery is medicinal chemistry/organic molecules, not catalysis.</t>
  </si>
  <si>
    <t xml:space="preserve">W4415300687</t>
  </si>
  <si>
    <t xml:space="preserve">A roadmap toward closed-loop autonomous experimentation for engineered nanomaterials</t>
  </si>
  <si>
    <t xml:space="preserve">https://doi.org/10.1038/s44286-025-00291-x</t>
  </si>
  <si>
    <t xml:space="preserve">You are screening bibliographic records for a review of AUTONOMOUS SCIENTIFIC DISCOVERY</t>
  </si>
  <si>
    <t xml:space="preserve">(self-driving laboratories, closed-loop autonomous experimentation).</t>
  </si>
  <si>
    <t xml:space="preserve">INCLUDE (1) if the work is substantively about any of:</t>
  </si>
  <si>
    <t xml:space="preserve"> a) closed-loop autonomous experimentation: an algorithm selects the next experiment and apparatus executes it</t>
  </si>
  <si>
    <t xml:space="preserve"> b) self-driving laboratories / materials acceleration platforms</t>
  </si>
  <si>
    <t xml:space="preserve"> c) robotic or automated experimental platforms for chemical, materials, or biological synthesis,</t>
  </si>
  <si>
    <t xml:space="preserve">    characterization, or discovery</t>
  </si>
  <si>
    <t xml:space="preserve"> d) AI or LLM agents that plan and/or execute laboratory experiments</t>
  </si>
  <si>
    <t xml:space="preserve"> e) enabling algorithms, orchestration software, hardware or data infrastructure presented explicitly</t>
  </si>
  <si>
    <t xml:space="preserve">    for autonomous experimentation (e.g. Bayesian optimization for experiment selection, lab orchestration)</t>
  </si>
  <si>
    <t xml:space="preserve"> f) reviews, perspectives or roadmaps on any of the above</t>
  </si>
  <si>
    <t xml:space="preserve">EXCLUDE (0) if it is:</t>
  </si>
  <si>
    <t xml:space="preserve"> - general machine learning or AI with no experimental loop</t>
  </si>
  <si>
    <t xml:space="preserve"> - purely computational prediction or virtual screening with no automated physical experiment</t>
  </si>
  <si>
    <t xml:space="preserve"> - autonomous vehicles, drones, or mobile robotics not used for experiments</t>
  </si>
  <si>
    <t xml:space="preserve"> - clinical or diagnostic laboratory automation for routine testing</t>
  </si>
  <si>
    <t xml:space="preserve"> - laboratory information systems with no autonomy</t>
  </si>
  <si>
    <t xml:space="preserve"> - chemistry, materials or biology with no automation or algorithmic experiment selection</t>
  </si>
  <si>
    <t xml:space="preserve"> - autonomy in networking, power systems, manufacturing control, or unrelated engineering</t>
  </si>
  <si>
    <t xml:space="preserve">Reply with ONLY a JSON array, one object per numbered record: [{"n":1,"in":0},{"n":2,"in":1},...]</t>
  </si>
  <si>
    <t xml:space="preserve">No prose, no code fences.</t>
  </si>
  <si>
    <t xml:space="preserve">Classify each bibliographic record on two axes. Judge ONLY what the work itself</t>
  </si>
  <si>
    <t xml:space="preserve">reports, not what it discusses, reviews, or proposes as future work.</t>
  </si>
  <si>
    <t xml:space="preserve">AXIS 1 - primary material/application domain. Exactly one code:</t>
  </si>
  <si>
    <t xml:space="preserve">  inorganic = inorganic solids, ceramics, solid-state synthesis</t>
  </si>
  <si>
    <t xml:space="preserve">  organic   = organic synthesis, reaction discovery, medicinal chemistry</t>
  </si>
  <si>
    <t xml:space="preserve">  polymer   = polymers, soft matter, colloids, hydrogels</t>
  </si>
  <si>
    <t xml:space="preserve">  nano      = nanoparticles, nanocrystals, quantum dots, nanotubes</t>
  </si>
  <si>
    <t xml:space="preserve">  bio       = proteins, enzymes, peptides, nucleic acids, synthetic biology, cells</t>
  </si>
  <si>
    <t xml:space="preserve">  catalysis = catalysts and catalytic processes (hetero, electro, photo)</t>
  </si>
  <si>
    <t xml:space="preserve">  battery   = batteries, electrolytes, photovoltaics, fuel cells</t>
  </si>
  <si>
    <t xml:space="preserve">  thinfilm  = thin films, semiconductors, devices, deposition</t>
  </si>
  <si>
    <t xml:space="preserve">  quantum   = quantum or photonic materials and devices, optoelectronics</t>
  </si>
  <si>
    <t xml:space="preserve">  none      = no specific material class: methods, software, agents, reviews, infrastructure</t>
  </si>
  <si>
    <t xml:space="preserve">AXIS 2 - highest autonomy stage ACTUALLY IMPLEMENTED in this work. Exactly one code:</t>
  </si>
  <si>
    <t xml:space="preserve">  closed = an algorithm selects the next experiment AND apparatus executes it, iterated in</t>
  </si>
  <si>
    <t xml:space="preserve">           a loop, demonstrated in this work</t>
  </si>
  <si>
    <t xml:space="preserve">  auto   = physical experiments are automated or robotic, but experiment selection is not</t>
  </si>
  <si>
    <t xml:space="preserve">           algorithmic or the loop is not closed</t>
  </si>
  <si>
    <t xml:space="preserve">  alg    = algorithmic experiment selection or design (Bayesian optimisation, active learning)</t>
  </si>
  <si>
    <t xml:space="preserve">           without automated physical execution in this work</t>
  </si>
  <si>
    <t xml:space="preserve">  pred   = computation, prediction, simulation, benchmark, review, perspective, position</t>
  </si>
  <si>
    <t xml:space="preserve">           paper, or software with no physical experiment reported in this work</t>
  </si>
  <si>
    <t xml:space="preserve">A review, roadmap, perspective or position paper is ALWAYS stage=pred, whatever it describes.</t>
  </si>
  <si>
    <t xml:space="preserve">Reply with ONLY a JSON array, one object per numbered record:</t>
  </si>
  <si>
    <t xml:space="preserve">[{"n":1,"dom":"catalysis","stage":"closed"},...]</t>
  </si>
  <si>
    <t xml:space="preserve">Quality-control item</t>
  </si>
  <si>
    <t xml:space="preserve">Outcome / note</t>
  </si>
  <si>
    <t xml:space="preserve">Scope applied</t>
  </si>
  <si>
    <t xml:space="preserve">Used the workbook Rules sheet: inclusion requires substantive autonomous experimentation, self-driving labs, experimental automation/robotics, enabling infrastructure/algorithms explicitly for autonomous experimentation, or reviews/perspectives/roadmaps on these topics.</t>
  </si>
  <si>
    <t xml:space="preserve">Stage rule applied</t>
  </si>
  <si>
    <t xml:space="preserve">Used the Rules sheet strict definitions: closed loop requires algorithmic next-experiment selection AND physical apparatus execution iterated in a demonstrated loop; automated execution lacks algorithmic selection or closed-loop feedback; algorithmic selection lacks automated physical execution; reviews/benchmarks/simulations/software without reported physical experiments are prediction/review only.</t>
  </si>
  <si>
    <t xml:space="preserve">Consistency check</t>
  </si>
  <si>
    <t xml:space="preserve">Corrected internal contradictions where a row was marked N but the “corrected” value exactly matched the model value, and removed stale corrected values from rows marked Y.</t>
  </si>
  <si>
    <t xml:space="preserve">Evidence limitation</t>
  </si>
  <si>
    <t xml:space="preserve">This is a careful desk review based on workbook titles/abstracts and available metadata. Not every DOI/full text was independently inspected; records with missing abstracts or vague claims should be verified against the publisher version before final publication decisions.</t>
  </si>
  <si>
    <t xml:space="preserve">Recommended manual verification</t>
  </si>
  <si>
    <t xml:space="preserve">Prioritize records whose abstract is missing/very short, papers described as software/architecture/benchmark, and papers where a title claims autonomy but the abstract does not demonstrate physical execution.</t>
  </si>
  <si>
    <t xml:space="preserve">Domain taxonomy</t>
  </si>
  <si>
    <t xml:space="preserve">Kept the workbook’s exact domain labels. General platforms, algorithms, software, infrastructure, and broad reviews are “No material class named” unless a specific application domain is primary.</t>
  </si>
  <si>
    <t xml:space="preserve">Counts</t>
  </si>
  <si>
    <t xml:space="preserve">Use the Results sheet formulas after opening in Excel; formula results may refresh on open.</t>
  </si>
  <si>
    <t xml:space="preserve">Item</t>
  </si>
  <si>
    <t xml:space="preserve">Note</t>
  </si>
  <si>
    <t xml:space="preserve">Provenance</t>
  </si>
  <si>
    <t xml:space="preserve">First pass was an AI-assisted desk review of titles and abstracts (see QA Review Notes), reviewed by the author. Not independent of LLM judgment.</t>
  </si>
  <si>
    <t xml:space="preserve">Revision 23 Oct 2026</t>
  </si>
  <si>
    <t xml:space="preserve">Rows 20 and 88 of sheet A changed from N to Y (rules d and f). Precision 82/100.</t>
  </si>
  <si>
    <t xml:space="preserve">Borderline, left as N</t>
  </si>
  <si>
    <t xml:space="preserve">Rows 59 and 73 have no abstract in the record; if both were Y, precision would be 84/100. Rows 58, 26, 33, 63, 65, 66, 85, 86, 13, 14, 87 describe computational research agents with no laboratory experiment and stay N.</t>
  </si>
</sst>
</file>

<file path=xl/styles.xml><?xml version="1.0" encoding="utf-8"?>
<styleSheet xmlns="http://schemas.openxmlformats.org/spreadsheetml/2006/main">
  <numFmts count="2">
    <numFmt numFmtId="164" formatCode="General"/>
    <numFmt numFmtId="165" formatCode="0.0%"/>
  </numFmts>
  <fonts count="13">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1"/>
      <color rgb="FFFFFFFF"/>
      <name val="Arial"/>
      <family val="0"/>
      <charset val="1"/>
    </font>
    <font>
      <sz val="11"/>
      <name val="Arial"/>
      <family val="0"/>
      <charset val="1"/>
    </font>
    <font>
      <sz val="9"/>
      <name val="Arial"/>
      <family val="0"/>
      <charset val="1"/>
    </font>
    <font>
      <u val="single"/>
      <sz val="9"/>
      <color rgb="FF0563C1"/>
      <name val="Arial"/>
      <family val="0"/>
      <charset val="1"/>
    </font>
    <font>
      <sz val="9"/>
      <name val="Consolas"/>
      <family val="0"/>
      <charset val="1"/>
    </font>
    <font>
      <b val="true"/>
      <sz val="11"/>
      <name val="Cambria"/>
      <family val="0"/>
      <charset val="1"/>
    </font>
  </fonts>
  <fills count="4">
    <fill>
      <patternFill patternType="none"/>
    </fill>
    <fill>
      <patternFill patternType="gray125"/>
    </fill>
    <fill>
      <patternFill patternType="solid">
        <fgColor rgb="FF1F4E79"/>
        <bgColor rgb="FF003366"/>
      </patternFill>
    </fill>
    <fill>
      <patternFill patternType="solid">
        <fgColor rgb="FFFFF2CC"/>
        <bgColor rgb="FFFF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doi.org/10.1007/s40243-026-00374-6" TargetMode="External"/><Relationship Id="rId2" Type="http://schemas.openxmlformats.org/officeDocument/2006/relationships/hyperlink" Target="https://doi.org/10.1093/mam/ozae044.1008" TargetMode="External"/><Relationship Id="rId3" Type="http://schemas.openxmlformats.org/officeDocument/2006/relationships/hyperlink" Target="https://doi.org/10.1299/jsmermd.2024.2p2-g10" TargetMode="External"/><Relationship Id="rId4" Type="http://schemas.openxmlformats.org/officeDocument/2006/relationships/hyperlink" Target="https://doi.org/10.21203/rs.3.rs-2471685/v1" TargetMode="External"/><Relationship Id="rId5" Type="http://schemas.openxmlformats.org/officeDocument/2006/relationships/hyperlink" Target="https://doi.org/10.5281/zenodo.22752004" TargetMode="External"/><Relationship Id="rId6" Type="http://schemas.openxmlformats.org/officeDocument/2006/relationships/hyperlink" Target="https://doi.org/10.1016/j.cell.2026.01.012" TargetMode="External"/><Relationship Id="rId7" Type="http://schemas.openxmlformats.org/officeDocument/2006/relationships/hyperlink" Target="https://doi.org/10.4018/979-8-3693-9208-9.ch013" TargetMode="External"/><Relationship Id="rId8" Type="http://schemas.openxmlformats.org/officeDocument/2006/relationships/hyperlink" Target="https://doi.org/10.26434/chemrxiv.15007561/v1" TargetMode="External"/><Relationship Id="rId9" Type="http://schemas.openxmlformats.org/officeDocument/2006/relationships/hyperlink" Target="https://openalex.org/W4226406950" TargetMode="External"/><Relationship Id="rId10" Type="http://schemas.openxmlformats.org/officeDocument/2006/relationships/hyperlink" Target="https://doi.org/10.26434/chemrxiv-2024-mqb6s-v2" TargetMode="External"/><Relationship Id="rId11" Type="http://schemas.openxmlformats.org/officeDocument/2006/relationships/hyperlink" Target="https://doi.org/10.48550/arxiv.2304.10267" TargetMode="External"/><Relationship Id="rId12" Type="http://schemas.openxmlformats.org/officeDocument/2006/relationships/hyperlink" Target="https://doi.org/10.1016/j.chempr.2021.09.004" TargetMode="External"/><Relationship Id="rId13" Type="http://schemas.openxmlformats.org/officeDocument/2006/relationships/hyperlink" Target="https://doi.org/10.5281/zenodo.21383331" TargetMode="External"/><Relationship Id="rId14" Type="http://schemas.openxmlformats.org/officeDocument/2006/relationships/hyperlink" Target="https://openalex.org/W7167446164" TargetMode="External"/><Relationship Id="rId15" Type="http://schemas.openxmlformats.org/officeDocument/2006/relationships/hyperlink" Target="https://doi.org/10.3390/bios16060309" TargetMode="External"/><Relationship Id="rId16" Type="http://schemas.openxmlformats.org/officeDocument/2006/relationships/hyperlink" Target="https://doi.org/10.1039/d6nr02314b" TargetMode="External"/><Relationship Id="rId17" Type="http://schemas.openxmlformats.org/officeDocument/2006/relationships/hyperlink" Target="https://doi.org/10.1038/s41524-023-00984-y" TargetMode="External"/><Relationship Id="rId18" Type="http://schemas.openxmlformats.org/officeDocument/2006/relationships/hyperlink" Target="https://openalex.org/W1484117678" TargetMode="External"/><Relationship Id="rId19" Type="http://schemas.openxmlformats.org/officeDocument/2006/relationships/hyperlink" Target="https://doi.org/10.1038/s41929-018-0142-1" TargetMode="External"/><Relationship Id="rId20" Type="http://schemas.openxmlformats.org/officeDocument/2006/relationships/hyperlink" Target="https://doi.org/10.48550/arxiv.2510.23045" TargetMode="External"/><Relationship Id="rId21" Type="http://schemas.openxmlformats.org/officeDocument/2006/relationships/hyperlink" Target="https://doi.org/10.1021/acssynbio.2c00015" TargetMode="External"/><Relationship Id="rId22" Type="http://schemas.openxmlformats.org/officeDocument/2006/relationships/hyperlink" Target="https://doi.org/10.48550/arxiv.2608.04651" TargetMode="External"/><Relationship Id="rId23" Type="http://schemas.openxmlformats.org/officeDocument/2006/relationships/hyperlink" Target="https://doi.org/10.1109/tase.2024.3474549" TargetMode="External"/><Relationship Id="rId24" Type="http://schemas.openxmlformats.org/officeDocument/2006/relationships/hyperlink" Target="https://doi.org/10.64898/2026.06.10.731360" TargetMode="External"/><Relationship Id="rId25" Type="http://schemas.openxmlformats.org/officeDocument/2006/relationships/hyperlink" Target="https://doi.org/10.48550/arxiv.2605.00868" TargetMode="External"/><Relationship Id="rId26" Type="http://schemas.openxmlformats.org/officeDocument/2006/relationships/hyperlink" Target="https://doi.org/10.48550/arxiv.2511.13825" TargetMode="External"/><Relationship Id="rId27" Type="http://schemas.openxmlformats.org/officeDocument/2006/relationships/hyperlink" Target="https://doi.org/10.48550/arxiv.2509.23426" TargetMode="External"/><Relationship Id="rId28" Type="http://schemas.openxmlformats.org/officeDocument/2006/relationships/hyperlink" Target="https://doi.org/10.48550/arxiv.2604.16345" TargetMode="External"/><Relationship Id="rId29" Type="http://schemas.openxmlformats.org/officeDocument/2006/relationships/hyperlink" Target="https://doi.org/10.15278/isms.2023.7259" TargetMode="External"/><Relationship Id="rId30" Type="http://schemas.openxmlformats.org/officeDocument/2006/relationships/hyperlink" Target="https://doi.org/10.6084/m9.figshare.31698793.v1" TargetMode="External"/><Relationship Id="rId31" Type="http://schemas.openxmlformats.org/officeDocument/2006/relationships/hyperlink" Target="https://doi.org/10.1021/acs.jctc.6c00571" TargetMode="External"/><Relationship Id="rId32" Type="http://schemas.openxmlformats.org/officeDocument/2006/relationships/hyperlink" Target="https://doi.org/10.26434/chemrxiv-2025-17lfp" TargetMode="External"/><Relationship Id="rId33" Type="http://schemas.openxmlformats.org/officeDocument/2006/relationships/hyperlink" Target="https://doi.org/10.48550/arxiv.2609.00365" TargetMode="External"/><Relationship Id="rId34" Type="http://schemas.openxmlformats.org/officeDocument/2006/relationships/hyperlink" Target="https://doi.org/10.26434/chemrxiv.15003459/v1" TargetMode="External"/><Relationship Id="rId35" Type="http://schemas.openxmlformats.org/officeDocument/2006/relationships/hyperlink" Target="https://doi.org/10.3389/frobt.2020.00024" TargetMode="External"/><Relationship Id="rId36" Type="http://schemas.openxmlformats.org/officeDocument/2006/relationships/hyperlink" Target="https://doi.org/10.1038/s43246-026-01105-0" TargetMode="External"/><Relationship Id="rId37" Type="http://schemas.openxmlformats.org/officeDocument/2006/relationships/hyperlink" Target="https://doi.org/10.1002/batt.202000102" TargetMode="External"/><Relationship Id="rId38" Type="http://schemas.openxmlformats.org/officeDocument/2006/relationships/hyperlink" Target="https://doi.org/10.26434/chemrxiv.15000295/v1" TargetMode="External"/><Relationship Id="rId39" Type="http://schemas.openxmlformats.org/officeDocument/2006/relationships/hyperlink" Target="https://openalex.org/W4414547760" TargetMode="External"/><Relationship Id="rId40" Type="http://schemas.openxmlformats.org/officeDocument/2006/relationships/hyperlink" Target="https://doi.org/10.1109/iros58592.2024.10802186" TargetMode="External"/><Relationship Id="rId41" Type="http://schemas.openxmlformats.org/officeDocument/2006/relationships/hyperlink" Target="https://doi.org/10.1039/d5dd00263j" TargetMode="External"/><Relationship Id="rId42" Type="http://schemas.openxmlformats.org/officeDocument/2006/relationships/hyperlink" Target="https://doi.org/10.5281/zenodo.22762075" TargetMode="External"/><Relationship Id="rId43" Type="http://schemas.openxmlformats.org/officeDocument/2006/relationships/hyperlink" Target="https://doi.org/10.1109/iros47612.2022.9981081" TargetMode="External"/><Relationship Id="rId44" Type="http://schemas.openxmlformats.org/officeDocument/2006/relationships/hyperlink" Target="https://doi.org/10.48550/arxiv.2206.07108" TargetMode="External"/><Relationship Id="rId45" Type="http://schemas.openxmlformats.org/officeDocument/2006/relationships/hyperlink" Target="https://doi.org/10.1299/jsmermd.2024.2p2-g03" TargetMode="External"/><Relationship Id="rId46" Type="http://schemas.openxmlformats.org/officeDocument/2006/relationships/hyperlink" Target="https://doi.org/10.1016/j.engappai.2026.115568" TargetMode="External"/><Relationship Id="rId47" Type="http://schemas.openxmlformats.org/officeDocument/2006/relationships/hyperlink" Target="https://doi.org/10.26434/chemrxiv-2025-lb8jt" TargetMode="External"/><Relationship Id="rId48" Type="http://schemas.openxmlformats.org/officeDocument/2006/relationships/hyperlink" Target="https://doi.org/10.1038/s41467-022-32938-1" TargetMode="External"/><Relationship Id="rId49" Type="http://schemas.openxmlformats.org/officeDocument/2006/relationships/hyperlink" Target="https://doi.org/10.1002/aisy.202501149" TargetMode="External"/><Relationship Id="rId50" Type="http://schemas.openxmlformats.org/officeDocument/2006/relationships/hyperlink" Target="https://doi.org/10.1002/asia.202500825" TargetMode="External"/><Relationship Id="rId51" Type="http://schemas.openxmlformats.org/officeDocument/2006/relationships/hyperlink" Target="https://doi.org/10.1016/j.ohx.2019.e00056" TargetMode="External"/><Relationship Id="rId52" Type="http://schemas.openxmlformats.org/officeDocument/2006/relationships/hyperlink" Target="https://doi.org/10.21203/rs.3.rs-10521147/v1" TargetMode="External"/><Relationship Id="rId53" Type="http://schemas.openxmlformats.org/officeDocument/2006/relationships/hyperlink" Target="https://doi.org/10.69709/caic.2026.133382" TargetMode="External"/><Relationship Id="rId54" Type="http://schemas.openxmlformats.org/officeDocument/2006/relationships/hyperlink" Target="https://doi.org/10.26434/chemrxiv-2025-51tv8" TargetMode="External"/><Relationship Id="rId55" Type="http://schemas.openxmlformats.org/officeDocument/2006/relationships/hyperlink" Target="https://doi.org/10.1002/slct.73624" TargetMode="External"/><Relationship Id="rId56" Type="http://schemas.openxmlformats.org/officeDocument/2006/relationships/hyperlink" Target="https://doi.org/10.1039/d6dd00063k" TargetMode="External"/><Relationship Id="rId57" Type="http://schemas.openxmlformats.org/officeDocument/2006/relationships/hyperlink" Target="https://doi.org/10.1515/9783111681870-004" TargetMode="External"/><Relationship Id="rId58" Type="http://schemas.openxmlformats.org/officeDocument/2006/relationships/hyperlink" Target="https://doi.org/10.1002/adem.71258" TargetMode="External"/><Relationship Id="rId59" Type="http://schemas.openxmlformats.org/officeDocument/2006/relationships/hyperlink" Target="https://doi.org/10.1016/j.ddtec.2020.06.001" TargetMode="External"/><Relationship Id="rId60" Type="http://schemas.openxmlformats.org/officeDocument/2006/relationships/hyperlink" Target="https://doi.org/10.1201/9781003359593-1" TargetMode="External"/><Relationship Id="rId61" Type="http://schemas.openxmlformats.org/officeDocument/2006/relationships/hyperlink" Target="https://doi.org/10.1039/d5dd00116a" TargetMode="External"/><Relationship Id="rId62" Type="http://schemas.openxmlformats.org/officeDocument/2006/relationships/hyperlink" Target="https://doi.org/10.1021/acsanm.6c00443" TargetMode="External"/><Relationship Id="rId63" Type="http://schemas.openxmlformats.org/officeDocument/2006/relationships/hyperlink" Target="https://doi.org/10.13031/aim.202600898" TargetMode="External"/><Relationship Id="rId64" Type="http://schemas.openxmlformats.org/officeDocument/2006/relationships/hyperlink" Target="https://doi.org/10.1088/0960-1317/4/4/002" TargetMode="External"/><Relationship Id="rId65" Type="http://schemas.openxmlformats.org/officeDocument/2006/relationships/hyperlink" Target="https://doi.org/10.48550/arxiv.2608.31119" TargetMode="External"/><Relationship Id="rId66" Type="http://schemas.openxmlformats.org/officeDocument/2006/relationships/hyperlink" Target="https://doi.org/10.48550/arxiv.2606.07697" TargetMode="External"/><Relationship Id="rId67" Type="http://schemas.openxmlformats.org/officeDocument/2006/relationships/hyperlink" Target="https://doi.org/10.48550/arxiv.2607.20662" TargetMode="External"/><Relationship Id="rId68" Type="http://schemas.openxmlformats.org/officeDocument/2006/relationships/hyperlink" Target="https://doi.org/10.26434/chemrxiv-2026-1vrq1" TargetMode="External"/><Relationship Id="rId69" Type="http://schemas.openxmlformats.org/officeDocument/2006/relationships/hyperlink" Target="https://doi.org/10.1038/s41524-024-01485-2" TargetMode="External"/><Relationship Id="rId70" Type="http://schemas.openxmlformats.org/officeDocument/2006/relationships/hyperlink" Target="https://doi.org/10.1115/1.4072587" TargetMode="External"/><Relationship Id="rId71" Type="http://schemas.openxmlformats.org/officeDocument/2006/relationships/hyperlink" Target="https://doi.org/10.3389/frobt.2024.1462717" TargetMode="External"/><Relationship Id="rId72" Type="http://schemas.openxmlformats.org/officeDocument/2006/relationships/hyperlink" Target="https://doi.org/10.26434/chemrxiv-2025-zhkrf" TargetMode="External"/><Relationship Id="rId73" Type="http://schemas.openxmlformats.org/officeDocument/2006/relationships/hyperlink" Target="https://doi.org/10.1016/b978-0-443-15274-0.50003-2" TargetMode="External"/><Relationship Id="rId74" Type="http://schemas.openxmlformats.org/officeDocument/2006/relationships/hyperlink" Target="https://doi.org/10.26434/chemrxiv.12924968" TargetMode="External"/><Relationship Id="rId75" Type="http://schemas.openxmlformats.org/officeDocument/2006/relationships/hyperlink" Target="https://doi.org/10.1021/op0341972" TargetMode="External"/><Relationship Id="rId76" Type="http://schemas.openxmlformats.org/officeDocument/2006/relationships/hyperlink" Target="https://doi.org/10.64898/2026.03.02.709168" TargetMode="External"/><Relationship Id="rId77" Type="http://schemas.openxmlformats.org/officeDocument/2006/relationships/hyperlink" Target="https://doi.org/10.21203/rs.3.rs-9360434/v1" TargetMode="External"/><Relationship Id="rId78" Type="http://schemas.openxmlformats.org/officeDocument/2006/relationships/hyperlink" Target="https://doi.org/10.48550/arxiv.2605.18033" TargetMode="External"/><Relationship Id="rId79" Type="http://schemas.openxmlformats.org/officeDocument/2006/relationships/hyperlink" Target="https://doi.org/10.1039/d4mh00797b" TargetMode="External"/><Relationship Id="rId80" Type="http://schemas.openxmlformats.org/officeDocument/2006/relationships/hyperlink" Target="https://doi.org/10.1016/j.trac.2016.12.011" TargetMode="External"/><Relationship Id="rId81" Type="http://schemas.openxmlformats.org/officeDocument/2006/relationships/hyperlink" Target="https://doi.org/10.48550/arxiv.2305.08248" TargetMode="External"/><Relationship Id="rId82" Type="http://schemas.openxmlformats.org/officeDocument/2006/relationships/hyperlink" Target="https://doi.org/10.1007/978-3-642-16184-1_4" TargetMode="External"/><Relationship Id="rId83" Type="http://schemas.openxmlformats.org/officeDocument/2006/relationships/hyperlink" Target="https://doi.org/10.26434/chemrxiv-2026-8c93m" TargetMode="External"/><Relationship Id="rId84" Type="http://schemas.openxmlformats.org/officeDocument/2006/relationships/hyperlink" Target="https://doi.org/10.21203/rs.3.rs-10671592/v1" TargetMode="External"/><Relationship Id="rId85" Type="http://schemas.openxmlformats.org/officeDocument/2006/relationships/hyperlink" Target="https://doi.org/10.5281/zenodo.21930642" TargetMode="External"/><Relationship Id="rId86" Type="http://schemas.openxmlformats.org/officeDocument/2006/relationships/hyperlink" Target="https://doi.org/10.48550/arxiv.2606.22610" TargetMode="External"/><Relationship Id="rId87" Type="http://schemas.openxmlformats.org/officeDocument/2006/relationships/hyperlink" Target="https://doi.org/10.48550/arxiv.2605.10246" TargetMode="External"/><Relationship Id="rId88" Type="http://schemas.openxmlformats.org/officeDocument/2006/relationships/hyperlink" Target="https://doi.org/10.48550/arxiv.2503.22444" TargetMode="External"/><Relationship Id="rId89" Type="http://schemas.openxmlformats.org/officeDocument/2006/relationships/hyperlink" Target="https://doi.org/10.1038/s41524-021-00656-9" TargetMode="External"/><Relationship Id="rId90" Type="http://schemas.openxmlformats.org/officeDocument/2006/relationships/hyperlink" Target="https://doi.org/10.3791/65686" TargetMode="External"/><Relationship Id="rId91" Type="http://schemas.openxmlformats.org/officeDocument/2006/relationships/hyperlink" Target="https://doi.org/10.48550/arxiv.2608.18618" TargetMode="External"/><Relationship Id="rId92" Type="http://schemas.openxmlformats.org/officeDocument/2006/relationships/hyperlink" Target="https://doi.org/10.1039/d4dd00411f" TargetMode="External"/><Relationship Id="rId93" Type="http://schemas.openxmlformats.org/officeDocument/2006/relationships/hyperlink" Target="https://doi.org/10.1021/acsmaterialslett.6c00558" TargetMode="External"/><Relationship Id="rId94" Type="http://schemas.openxmlformats.org/officeDocument/2006/relationships/hyperlink" Target="https://doi.org/10.5281/zenodo.22308072" TargetMode="External"/><Relationship Id="rId95" Type="http://schemas.openxmlformats.org/officeDocument/2006/relationships/hyperlink" Target="https://doi.org/10.1002/ange.3008697" TargetMode="External"/><Relationship Id="rId96" Type="http://schemas.openxmlformats.org/officeDocument/2006/relationships/hyperlink" Target="https://doi.org/10.1101/2021.08.24.457462" TargetMode="External"/><Relationship Id="rId97" Type="http://schemas.openxmlformats.org/officeDocument/2006/relationships/hyperlink" Target="https://doi.org/10.26434/chemrxiv.15000115/v1" TargetMode="External"/><Relationship Id="rId98" Type="http://schemas.openxmlformats.org/officeDocument/2006/relationships/hyperlink" Target="https://doi.org/10.1016/j.matt.2022.08.004" TargetMode="External"/><Relationship Id="rId99" Type="http://schemas.openxmlformats.org/officeDocument/2006/relationships/hyperlink" Target="https://doi.org/10.1515/cdbme-2026-0172" TargetMode="External"/><Relationship Id="rId100" Type="http://schemas.openxmlformats.org/officeDocument/2006/relationships/hyperlink" Target="https://doi.org/10.1039/d6dd00557h" TargetMode="External"/><Relationship Id="rId10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doi.org/10.5281/zenodo.18217596" TargetMode="External"/><Relationship Id="rId2" Type="http://schemas.openxmlformats.org/officeDocument/2006/relationships/hyperlink" Target="https://doi.org/10.1021/acsnano.5c20552" TargetMode="External"/><Relationship Id="rId3" Type="http://schemas.openxmlformats.org/officeDocument/2006/relationships/hyperlink" Target="https://doi.org/10.48550/arxiv.2510.11661" TargetMode="External"/><Relationship Id="rId4" Type="http://schemas.openxmlformats.org/officeDocument/2006/relationships/hyperlink" Target="https://doi.org/10.5281/zenodo.22299439" TargetMode="External"/><Relationship Id="rId5" Type="http://schemas.openxmlformats.org/officeDocument/2006/relationships/hyperlink" Target="https://doi.org/10.1109/icra55743.2025.11128567" TargetMode="External"/><Relationship Id="rId6" Type="http://schemas.openxmlformats.org/officeDocument/2006/relationships/hyperlink" Target="https://doi.org/10.26434/chemrxiv-2024-31fl1" TargetMode="External"/><Relationship Id="rId7" Type="http://schemas.openxmlformats.org/officeDocument/2006/relationships/hyperlink" Target="https://doi.org/10.48550/arxiv.2603.11987" TargetMode="External"/><Relationship Id="rId8" Type="http://schemas.openxmlformats.org/officeDocument/2006/relationships/hyperlink" Target="https://doi.org/10.48550/arxiv.2304.02484" TargetMode="External"/><Relationship Id="rId9" Type="http://schemas.openxmlformats.org/officeDocument/2006/relationships/hyperlink" Target="https://doi.org/10.48550/arxiv.2503.22444" TargetMode="External"/><Relationship Id="rId10" Type="http://schemas.openxmlformats.org/officeDocument/2006/relationships/hyperlink" Target="https://doi.org/10.26434/chemrxiv.15003459/v1" TargetMode="External"/><Relationship Id="rId11" Type="http://schemas.openxmlformats.org/officeDocument/2006/relationships/hyperlink" Target="https://doi.org/10.48550/arxiv.2609.00365" TargetMode="External"/><Relationship Id="rId12" Type="http://schemas.openxmlformats.org/officeDocument/2006/relationships/hyperlink" Target="https://doi.org/10.1007/978-3-031-95130-5_19" TargetMode="External"/><Relationship Id="rId13" Type="http://schemas.openxmlformats.org/officeDocument/2006/relationships/hyperlink" Target="https://doi.org/10.1016/j.matdes.2026.116585" TargetMode="External"/><Relationship Id="rId14" Type="http://schemas.openxmlformats.org/officeDocument/2006/relationships/hyperlink" Target="https://doi.org/10.5281/zenodo.17729292" TargetMode="External"/><Relationship Id="rId15" Type="http://schemas.openxmlformats.org/officeDocument/2006/relationships/hyperlink" Target="https://doi.org/10.1038/s41524-026-02136-4" TargetMode="External"/><Relationship Id="rId16" Type="http://schemas.openxmlformats.org/officeDocument/2006/relationships/hyperlink" Target="https://doi.org/10.1039/b711412e" TargetMode="External"/><Relationship Id="rId17" Type="http://schemas.openxmlformats.org/officeDocument/2006/relationships/hyperlink" Target="https://doi.org/10.3929/ethz-c-000792087" TargetMode="External"/><Relationship Id="rId18" Type="http://schemas.openxmlformats.org/officeDocument/2006/relationships/hyperlink" Target="https://doi.org/10.1039/d3dd00142c" TargetMode="External"/><Relationship Id="rId19" Type="http://schemas.openxmlformats.org/officeDocument/2006/relationships/hyperlink" Target="https://doi.org/10.1016/j.drudis.2026.104650" TargetMode="External"/><Relationship Id="rId20" Type="http://schemas.openxmlformats.org/officeDocument/2006/relationships/hyperlink" Target="https://doi.org/10.1063/5.0048164" TargetMode="External"/><Relationship Id="rId21" Type="http://schemas.openxmlformats.org/officeDocument/2006/relationships/hyperlink" Target="https://doi.org/10.2174/0129503752469903260723075500" TargetMode="External"/><Relationship Id="rId22" Type="http://schemas.openxmlformats.org/officeDocument/2006/relationships/hyperlink" Target="https://doi.org/10.1007/978-3-642-13523-1_24" TargetMode="External"/><Relationship Id="rId23" Type="http://schemas.openxmlformats.org/officeDocument/2006/relationships/hyperlink" Target="https://doi.org/10.1039/d5dd00151j" TargetMode="External"/><Relationship Id="rId24" Type="http://schemas.openxmlformats.org/officeDocument/2006/relationships/hyperlink" Target="https://doi.org/10.68159/s759761095" TargetMode="External"/><Relationship Id="rId25" Type="http://schemas.openxmlformats.org/officeDocument/2006/relationships/hyperlink" Target="https://doi.org/10.2139/ssrn.5393137" TargetMode="External"/><Relationship Id="rId26" Type="http://schemas.openxmlformats.org/officeDocument/2006/relationships/hyperlink" Target="https://doi.org/10.5281/zenodo.22755353" TargetMode="External"/><Relationship Id="rId27" Type="http://schemas.openxmlformats.org/officeDocument/2006/relationships/hyperlink" Target="https://doi.org/10.6084/m9.figshare.4601002" TargetMode="External"/><Relationship Id="rId28" Type="http://schemas.openxmlformats.org/officeDocument/2006/relationships/hyperlink" Target="https://doi.org/10.13140/rg.2.2.27446.05440" TargetMode="External"/><Relationship Id="rId29" Type="http://schemas.openxmlformats.org/officeDocument/2006/relationships/hyperlink" Target="https://doi.org/10.1002/aenm.202102698" TargetMode="External"/><Relationship Id="rId30" Type="http://schemas.openxmlformats.org/officeDocument/2006/relationships/hyperlink" Target="https://doi.org/10.1039/d5dd00157a" TargetMode="External"/><Relationship Id="rId31" Type="http://schemas.openxmlformats.org/officeDocument/2006/relationships/hyperlink" Target="https://openalex.org/W7219956905" TargetMode="External"/><Relationship Id="rId32" Type="http://schemas.openxmlformats.org/officeDocument/2006/relationships/hyperlink" Target="https://doi.org/10.1002/anie.201810384" TargetMode="External"/><Relationship Id="rId33" Type="http://schemas.openxmlformats.org/officeDocument/2006/relationships/hyperlink" Target="https://doi.org/10.3390/data11070180" TargetMode="External"/><Relationship Id="rId34" Type="http://schemas.openxmlformats.org/officeDocument/2006/relationships/hyperlink" Target="https://doi.org/10.5281/zenodo.7369997" TargetMode="External"/><Relationship Id="rId35" Type="http://schemas.openxmlformats.org/officeDocument/2006/relationships/hyperlink" Target="https://doi.org/10.1039/d6nr02314b" TargetMode="External"/><Relationship Id="rId36" Type="http://schemas.openxmlformats.org/officeDocument/2006/relationships/hyperlink" Target="https://doi.org/10.26434/chemrxiv-2023-6z9mq" TargetMode="External"/><Relationship Id="rId37" Type="http://schemas.openxmlformats.org/officeDocument/2006/relationships/hyperlink" Target="https://doi.org/10.1063/10.0039813" TargetMode="External"/><Relationship Id="rId38" Type="http://schemas.openxmlformats.org/officeDocument/2006/relationships/hyperlink" Target="https://doi.org/10.1371/journal.pone.0287739" TargetMode="External"/><Relationship Id="rId39" Type="http://schemas.openxmlformats.org/officeDocument/2006/relationships/hyperlink" Target="https://doi.org/10.3390/en19174050" TargetMode="External"/><Relationship Id="rId40" Type="http://schemas.openxmlformats.org/officeDocument/2006/relationships/hyperlink" Target="https://doi.org/10.48550/arxiv.2403.01332" TargetMode="External"/><Relationship Id="rId41" Type="http://schemas.openxmlformats.org/officeDocument/2006/relationships/hyperlink" Target="https://doi.org/10.1021/op0341972" TargetMode="External"/><Relationship Id="rId42" Type="http://schemas.openxmlformats.org/officeDocument/2006/relationships/hyperlink" Target="https://doi.org/10.1126/science.adj1817" TargetMode="External"/><Relationship Id="rId43" Type="http://schemas.openxmlformats.org/officeDocument/2006/relationships/hyperlink" Target="https://doi.org/10.48550/arxiv.2512.23880" TargetMode="External"/><Relationship Id="rId44" Type="http://schemas.openxmlformats.org/officeDocument/2006/relationships/hyperlink" Target="https://doi.org/10.17638/03195319" TargetMode="External"/><Relationship Id="rId45" Type="http://schemas.openxmlformats.org/officeDocument/2006/relationships/hyperlink" Target="https://doi.org/10.1016/j.rineng.2026.113180" TargetMode="External"/><Relationship Id="rId46" Type="http://schemas.openxmlformats.org/officeDocument/2006/relationships/hyperlink" Target="https://doi.org/10.1021/acscentsci.5c01624" TargetMode="External"/><Relationship Id="rId47" Type="http://schemas.openxmlformats.org/officeDocument/2006/relationships/hyperlink" Target="https://doi.org/10.1016/j.slast.2026.100463" TargetMode="External"/><Relationship Id="rId48" Type="http://schemas.openxmlformats.org/officeDocument/2006/relationships/hyperlink" Target="https://doi.org/10.48550/arxiv.2605.18033" TargetMode="External"/><Relationship Id="rId49" Type="http://schemas.openxmlformats.org/officeDocument/2006/relationships/hyperlink" Target="https://doi.org/10.1038/s41524-026-02005-0" TargetMode="External"/><Relationship Id="rId50" Type="http://schemas.openxmlformats.org/officeDocument/2006/relationships/hyperlink" Target="https://doi.org/10.1109/dsn58291.2024.00043" TargetMode="External"/><Relationship Id="rId51" Type="http://schemas.openxmlformats.org/officeDocument/2006/relationships/hyperlink" Target="https://doi.org/10.48550/arxiv.2603.12618" TargetMode="External"/><Relationship Id="rId52" Type="http://schemas.openxmlformats.org/officeDocument/2006/relationships/hyperlink" Target="https://doi.org/10.64898/2026.09.19.752921" TargetMode="External"/><Relationship Id="rId53" Type="http://schemas.openxmlformats.org/officeDocument/2006/relationships/hyperlink" Target="https://doi.org/10.66132/mr2103" TargetMode="External"/><Relationship Id="rId54" Type="http://schemas.openxmlformats.org/officeDocument/2006/relationships/hyperlink" Target="https://doi.org/10.1039/d3ce00386h" TargetMode="External"/><Relationship Id="rId55" Type="http://schemas.openxmlformats.org/officeDocument/2006/relationships/hyperlink" Target="https://doi.org/10.1557/s43579-022-00288-0" TargetMode="External"/><Relationship Id="rId56" Type="http://schemas.openxmlformats.org/officeDocument/2006/relationships/hyperlink" Target="https://doi.org/10.1021/acssynbio.3c00397" TargetMode="External"/><Relationship Id="rId57" Type="http://schemas.openxmlformats.org/officeDocument/2006/relationships/hyperlink" Target="https://doi.org/10.1039/9781837072163-00085" TargetMode="External"/><Relationship Id="rId58" Type="http://schemas.openxmlformats.org/officeDocument/2006/relationships/hyperlink" Target="https://doi.org/10.1073/pnas.94.2.412" TargetMode="External"/><Relationship Id="rId59" Type="http://schemas.openxmlformats.org/officeDocument/2006/relationships/hyperlink" Target="https://doi.org/10.15302/frontphys.2026.071401" TargetMode="External"/><Relationship Id="rId60" Type="http://schemas.openxmlformats.org/officeDocument/2006/relationships/hyperlink" Target="https://doi.org/10.1002/adbi.202101063" TargetMode="External"/><Relationship Id="rId61" Type="http://schemas.openxmlformats.org/officeDocument/2006/relationships/hyperlink" Target="https://doi.org/10.1039/d4mh00797b" TargetMode="External"/><Relationship Id="rId62" Type="http://schemas.openxmlformats.org/officeDocument/2006/relationships/hyperlink" Target="https://doi.org/10.1039/c9re00209j" TargetMode="External"/><Relationship Id="rId63" Type="http://schemas.openxmlformats.org/officeDocument/2006/relationships/hyperlink" Target="https://doi.org/10.1002/adma.202413523" TargetMode="External"/><Relationship Id="rId64" Type="http://schemas.openxmlformats.org/officeDocument/2006/relationships/hyperlink" Target="https://openalex.org/W2756524872" TargetMode="External"/><Relationship Id="rId65" Type="http://schemas.openxmlformats.org/officeDocument/2006/relationships/hyperlink" Target="https://doi.org/10.1002/advs.77008" TargetMode="External"/><Relationship Id="rId66" Type="http://schemas.openxmlformats.org/officeDocument/2006/relationships/hyperlink" Target="https://doi.org/10.26434/chemrxiv.15006080/v1" TargetMode="External"/><Relationship Id="rId67" Type="http://schemas.openxmlformats.org/officeDocument/2006/relationships/hyperlink" Target="https://doi.org/10.48550/arxiv.2608.11216" TargetMode="External"/><Relationship Id="rId68" Type="http://schemas.openxmlformats.org/officeDocument/2006/relationships/hyperlink" Target="https://doi.org/10.1021/nl100669s" TargetMode="External"/><Relationship Id="rId69" Type="http://schemas.openxmlformats.org/officeDocument/2006/relationships/hyperlink" Target="https://doi.org/10.1063/5.0311536" TargetMode="External"/><Relationship Id="rId70" Type="http://schemas.openxmlformats.org/officeDocument/2006/relationships/hyperlink" Target="https://doi.org/10.1126/scirobotics.aat5559" TargetMode="External"/><Relationship Id="rId71" Type="http://schemas.openxmlformats.org/officeDocument/2006/relationships/hyperlink" Target="https://doi.org/10.1038/s41598-025-10672-0" TargetMode="External"/><Relationship Id="rId72" Type="http://schemas.openxmlformats.org/officeDocument/2006/relationships/hyperlink" Target="https://doi.org/10.68159/h935604128" TargetMode="External"/><Relationship Id="rId73" Type="http://schemas.openxmlformats.org/officeDocument/2006/relationships/hyperlink" Target="https://doi.org/10.64060/978-627-7898-01-4-9" TargetMode="External"/><Relationship Id="rId74" Type="http://schemas.openxmlformats.org/officeDocument/2006/relationships/hyperlink" Target="https://openalex.org/W188877260" TargetMode="External"/><Relationship Id="rId75" Type="http://schemas.openxmlformats.org/officeDocument/2006/relationships/hyperlink" Target="https://doi.org/10.1038/s41467-025-61209-y" TargetMode="External"/><Relationship Id="rId76" Type="http://schemas.openxmlformats.org/officeDocument/2006/relationships/hyperlink" Target="https://doi.org/10.48550/arxiv.2511.05524" TargetMode="External"/><Relationship Id="rId77" Type="http://schemas.openxmlformats.org/officeDocument/2006/relationships/hyperlink" Target="https://doi.org/10.1021/acsmaterialslett.3c00350" TargetMode="External"/><Relationship Id="rId78" Type="http://schemas.openxmlformats.org/officeDocument/2006/relationships/hyperlink" Target="https://doi.org/10.1016/j.patter.2025.101372" TargetMode="External"/><Relationship Id="rId79" Type="http://schemas.openxmlformats.org/officeDocument/2006/relationships/hyperlink" Target="https://doi.org/10.48550/arxiv.2604.07416" TargetMode="External"/><Relationship Id="rId80" Type="http://schemas.openxmlformats.org/officeDocument/2006/relationships/hyperlink" Target="https://doi.org/10.1016/j.mtchem.2026.103934" TargetMode="External"/><Relationship Id="rId81" Type="http://schemas.openxmlformats.org/officeDocument/2006/relationships/hyperlink" Target="https://doi.org/10.48550/arxiv.2604.12144" TargetMode="External"/><Relationship Id="rId82" Type="http://schemas.openxmlformats.org/officeDocument/2006/relationships/hyperlink" Target="https://doi.org/10.48550/arxiv.2609.08844" TargetMode="External"/><Relationship Id="rId83" Type="http://schemas.openxmlformats.org/officeDocument/2006/relationships/hyperlink" Target="https://doi.org/10.48550/arxiv.2604.11957" TargetMode="External"/><Relationship Id="rId84" Type="http://schemas.openxmlformats.org/officeDocument/2006/relationships/hyperlink" Target="https://openalex.org/W3113609262" TargetMode="External"/><Relationship Id="rId85" Type="http://schemas.openxmlformats.org/officeDocument/2006/relationships/hyperlink" Target="https://doi.org/10.48550/arxiv.2609.04564" TargetMode="External"/><Relationship Id="rId86" Type="http://schemas.openxmlformats.org/officeDocument/2006/relationships/hyperlink" Target="https://doi.org/10.48550/arxiv.2609.26661" TargetMode="External"/><Relationship Id="rId87" Type="http://schemas.openxmlformats.org/officeDocument/2006/relationships/hyperlink" Target="https://doi.org/10.5281/zenodo.20359869" TargetMode="External"/><Relationship Id="rId88" Type="http://schemas.openxmlformats.org/officeDocument/2006/relationships/hyperlink" Target="https://doi.org/10.1038/s41586-026-10482-y" TargetMode="External"/><Relationship Id="rId89" Type="http://schemas.openxmlformats.org/officeDocument/2006/relationships/hyperlink" Target="https://doi.org/10.1038/s41557-020-00596-9" TargetMode="External"/><Relationship Id="rId90" Type="http://schemas.openxmlformats.org/officeDocument/2006/relationships/hyperlink" Target="https://doi.org/10.1039/d4dd00115j" TargetMode="External"/><Relationship Id="rId91" Type="http://schemas.openxmlformats.org/officeDocument/2006/relationships/hyperlink" Target="https://doi.org/10.1021/acsnano.6c03268" TargetMode="External"/><Relationship Id="rId92" Type="http://schemas.openxmlformats.org/officeDocument/2006/relationships/hyperlink" Target="https://doi.org/10.1016/j.aichem.2026.100129" TargetMode="External"/><Relationship Id="rId93" Type="http://schemas.openxmlformats.org/officeDocument/2006/relationships/hyperlink" Target="https://doi.org/10.26434/chemrxiv.15000295/v1" TargetMode="External"/><Relationship Id="rId94" Type="http://schemas.openxmlformats.org/officeDocument/2006/relationships/hyperlink" Target="https://doi.org/10.1007/978-3-031-23606-8_11" TargetMode="External"/><Relationship Id="rId95" Type="http://schemas.openxmlformats.org/officeDocument/2006/relationships/hyperlink" Target="https://doi.org/10.1088/1742-6596/2632/1/012002" TargetMode="External"/><Relationship Id="rId96" Type="http://schemas.openxmlformats.org/officeDocument/2006/relationships/hyperlink" Target="https://doi.org/10.48550/arxiv.2112.00600" TargetMode="External"/><Relationship Id="rId97" Type="http://schemas.openxmlformats.org/officeDocument/2006/relationships/hyperlink" Target="https://doi.org/10.48550/arxiv.2609.22411" TargetMode="External"/><Relationship Id="rId98" Type="http://schemas.openxmlformats.org/officeDocument/2006/relationships/hyperlink" Target="https://doi.org/10.26434/chemrxiv.15000705/v1" TargetMode="External"/><Relationship Id="rId99" Type="http://schemas.openxmlformats.org/officeDocument/2006/relationships/hyperlink" Target="https://doi.org/10.1002/ange.3008697" TargetMode="External"/><Relationship Id="rId100" Type="http://schemas.openxmlformats.org/officeDocument/2006/relationships/hyperlink" Target="https://doi.org/10.1038/s44286-025-00291-x" TargetMode="External"/><Relationship Id="rId10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row>
    <row r="4" customFormat="false" ht="15" hidden="false" customHeight="true" outlineLevel="0" collapsed="false">
      <c r="A4" s="4" t="s">
        <v>2</v>
      </c>
    </row>
    <row r="5" customFormat="false" ht="15" hidden="false" customHeight="true" outlineLevel="0" collapsed="false">
      <c r="A5" s="3" t="s">
        <v>3</v>
      </c>
    </row>
    <row r="6" customFormat="false" ht="23.25" hidden="false" customHeight="true" outlineLevel="0" collapsed="false">
      <c r="A6" s="3" t="s">
        <v>4</v>
      </c>
    </row>
    <row r="7" customFormat="false" ht="15" hidden="false" customHeight="true" outlineLevel="0" collapsed="false">
      <c r="A7" s="3" t="s">
        <v>5</v>
      </c>
    </row>
    <row r="8" customFormat="false" ht="15" hidden="false" customHeight="true" outlineLevel="0" collapsed="false">
      <c r="A8" s="3" t="s">
        <v>6</v>
      </c>
    </row>
    <row r="9" customFormat="false" ht="15" hidden="false" customHeight="true" outlineLevel="0" collapsed="false">
      <c r="A9" s="3"/>
    </row>
    <row r="10" customFormat="false" ht="15" hidden="false" customHeight="true" outlineLevel="0" collapsed="false">
      <c r="A10" s="4" t="s">
        <v>7</v>
      </c>
    </row>
    <row r="11" customFormat="false" ht="23.25" hidden="false" customHeight="true" outlineLevel="0" collapsed="false">
      <c r="A11" s="3" t="s">
        <v>8</v>
      </c>
    </row>
    <row r="12" customFormat="false" ht="15" hidden="false" customHeight="true" outlineLevel="0" collapsed="false">
      <c r="A12" s="3"/>
    </row>
    <row r="13" customFormat="false" ht="15" hidden="false" customHeight="true" outlineLevel="0" collapsed="false">
      <c r="A13" s="4" t="s">
        <v>9</v>
      </c>
    </row>
    <row r="14" customFormat="false" ht="23.25" hidden="false" customHeight="true" outlineLevel="0" collapsed="false">
      <c r="A14" s="3" t="s">
        <v>10</v>
      </c>
    </row>
    <row r="15" customFormat="false" ht="23.25" hidden="false" customHeight="true" outlineLevel="0" collapsed="false">
      <c r="A15" s="3"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6"/>
    <col collapsed="false" customWidth="true" hidden="false" outlineLevel="0" max="3" min="3" style="1" width="36"/>
  </cols>
  <sheetData>
    <row r="1" customFormat="false" ht="15" hidden="false" customHeight="true" outlineLevel="0" collapsed="false">
      <c r="A1" s="5" t="s">
        <v>12</v>
      </c>
      <c r="B1" s="5" t="s">
        <v>13</v>
      </c>
      <c r="C1" s="5" t="s">
        <v>14</v>
      </c>
    </row>
    <row r="2" customFormat="false" ht="15" hidden="false" customHeight="true" outlineLevel="0" collapsed="false">
      <c r="A2" s="6" t="s">
        <v>15</v>
      </c>
      <c r="B2" s="6" t="n">
        <f aca="false">COUNTIF('A Relevance'!H2:H101,"Y")</f>
        <v>82</v>
      </c>
      <c r="C2" s="6" t="s">
        <v>16</v>
      </c>
    </row>
    <row r="3" customFormat="false" ht="15" hidden="false" customHeight="true" outlineLevel="0" collapsed="false">
      <c r="A3" s="6" t="s">
        <v>17</v>
      </c>
      <c r="B3" s="6" t="n">
        <f aca="false">COUNTIF('A Relevance'!H2:H101,"N")</f>
        <v>18</v>
      </c>
      <c r="C3" s="6" t="s">
        <v>18</v>
      </c>
    </row>
    <row r="4" customFormat="false" ht="15" hidden="false" customHeight="true" outlineLevel="0" collapsed="false">
      <c r="A4" s="6" t="s">
        <v>19</v>
      </c>
      <c r="B4" s="7" t="n">
        <f aca="false">IFERROR(B2/(B2+B3),"")</f>
        <v>0.82</v>
      </c>
      <c r="C4" s="6" t="s">
        <v>20</v>
      </c>
    </row>
    <row r="5" customFormat="false" ht="15" hidden="false" customHeight="true" outlineLevel="0" collapsed="false">
      <c r="A5" s="6" t="s">
        <v>21</v>
      </c>
      <c r="B5" s="6" t="n">
        <f aca="false">COUNTIF('B Classification'!I2:I101,"Y")</f>
        <v>83</v>
      </c>
      <c r="C5" s="6"/>
    </row>
    <row r="6" customFormat="false" ht="15" hidden="false" customHeight="true" outlineLevel="0" collapsed="false">
      <c r="A6" s="6" t="s">
        <v>22</v>
      </c>
      <c r="B6" s="6" t="n">
        <f aca="false">COUNTIF('B Classification'!I2:I101,"N")</f>
        <v>17</v>
      </c>
      <c r="C6" s="6"/>
    </row>
    <row r="7" customFormat="false" ht="15" hidden="false" customHeight="true" outlineLevel="0" collapsed="false">
      <c r="A7" s="6" t="s">
        <v>23</v>
      </c>
      <c r="B7" s="7" t="n">
        <f aca="false">IFERROR(B5/(B5+B6),"")</f>
        <v>0.83</v>
      </c>
      <c r="C7" s="6"/>
    </row>
    <row r="8" customFormat="false" ht="15" hidden="false" customHeight="true" outlineLevel="0" collapsed="false">
      <c r="A8" s="6" t="s">
        <v>24</v>
      </c>
      <c r="B8" s="6" t="n">
        <f aca="false">COUNTIF('B Classification'!L2:L101,"Y")</f>
        <v>87</v>
      </c>
      <c r="C8" s="6"/>
    </row>
    <row r="9" customFormat="false" ht="15" hidden="false" customHeight="true" outlineLevel="0" collapsed="false">
      <c r="A9" s="6" t="s">
        <v>25</v>
      </c>
      <c r="B9" s="6" t="n">
        <f aca="false">COUNTIF('B Classification'!L2:L101,"N")</f>
        <v>13</v>
      </c>
      <c r="C9" s="6"/>
    </row>
    <row r="10" customFormat="false" ht="15" hidden="false" customHeight="true" outlineLevel="0" collapsed="false">
      <c r="A10" s="6" t="s">
        <v>26</v>
      </c>
      <c r="B10" s="7" t="n">
        <f aca="false">IFERROR(B8/(B8+B9),"")</f>
        <v>0.87</v>
      </c>
      <c r="C10" s="6"/>
    </row>
    <row r="11" customFormat="false" ht="15" hidden="false" customHeight="true" outlineLevel="0" collapsed="false">
      <c r="A11" s="6" t="s">
        <v>27</v>
      </c>
      <c r="B11" s="6" t="str">
        <f aca="false">COUNTBLANK('A Relevance'!H2:H101)&amp;" / "&amp;COUNTBLANK('B Classification'!I2:I101)&amp;" / "&amp;COUNTBLANK('B Classification'!L2:L101)</f>
        <v>0 / 0 / 0</v>
      </c>
      <c r="C11" s="6"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3"/>
    <col collapsed="false" customWidth="true" hidden="false" outlineLevel="0" max="3" min="3" style="1" width="6"/>
    <col collapsed="false" customWidth="true" hidden="false" outlineLevel="0" max="4" min="4" style="1" width="10"/>
    <col collapsed="false" customWidth="true" hidden="false" outlineLevel="0" max="5" min="5" style="1" width="40"/>
    <col collapsed="false" customWidth="true" hidden="false" outlineLevel="0" max="6" min="6" style="1" width="70"/>
    <col collapsed="false" customWidth="true" hidden="false" outlineLevel="0" max="7" min="7" style="1" width="22"/>
    <col collapsed="false" customWidth="true" hidden="false" outlineLevel="0" max="8" min="8" style="1" width="12"/>
    <col collapsed="false" customWidth="true" hidden="false" outlineLevel="0" max="9" min="9" style="1" width="30"/>
  </cols>
  <sheetData>
    <row r="1" customFormat="false" ht="51.75" hidden="false" customHeight="true" outlineLevel="0" collapsed="false">
      <c r="A1" s="8" t="s">
        <v>29</v>
      </c>
      <c r="B1" s="8" t="s">
        <v>30</v>
      </c>
      <c r="C1" s="8" t="s">
        <v>31</v>
      </c>
      <c r="D1" s="8" t="s">
        <v>32</v>
      </c>
      <c r="E1" s="8" t="s">
        <v>33</v>
      </c>
      <c r="F1" s="8" t="s">
        <v>34</v>
      </c>
      <c r="G1" s="8" t="s">
        <v>35</v>
      </c>
      <c r="H1" s="8" t="s">
        <v>36</v>
      </c>
      <c r="I1" s="8" t="s">
        <v>37</v>
      </c>
    </row>
    <row r="2" customFormat="false" ht="109.5" hidden="false" customHeight="true" outlineLevel="0" collapsed="false">
      <c r="A2" s="9" t="n">
        <v>1</v>
      </c>
      <c r="B2" s="9" t="s">
        <v>38</v>
      </c>
      <c r="C2" s="9" t="n">
        <v>2026</v>
      </c>
      <c r="D2" s="9" t="s">
        <v>39</v>
      </c>
      <c r="E2" s="9" t="s">
        <v>40</v>
      </c>
      <c r="F2" s="9" t="s">
        <v>41</v>
      </c>
      <c r="G2" s="10" t="s">
        <v>42</v>
      </c>
      <c r="H2" s="11" t="s">
        <v>43</v>
      </c>
      <c r="I2" s="9"/>
    </row>
    <row r="3" customFormat="false" ht="109.5" hidden="false" customHeight="true" outlineLevel="0" collapsed="false">
      <c r="A3" s="9" t="n">
        <v>2</v>
      </c>
      <c r="B3" s="9" t="s">
        <v>44</v>
      </c>
      <c r="C3" s="9" t="n">
        <v>2024</v>
      </c>
      <c r="D3" s="9" t="s">
        <v>39</v>
      </c>
      <c r="E3" s="9" t="s">
        <v>45</v>
      </c>
      <c r="F3" s="9" t="s">
        <v>46</v>
      </c>
      <c r="G3" s="10" t="s">
        <v>47</v>
      </c>
      <c r="H3" s="11" t="s">
        <v>48</v>
      </c>
      <c r="I3" s="9"/>
    </row>
    <row r="4" customFormat="false" ht="109.5" hidden="false" customHeight="true" outlineLevel="0" collapsed="false">
      <c r="A4" s="9" t="n">
        <v>3</v>
      </c>
      <c r="B4" s="9" t="s">
        <v>49</v>
      </c>
      <c r="C4" s="9" t="n">
        <v>2024</v>
      </c>
      <c r="D4" s="9" t="s">
        <v>50</v>
      </c>
      <c r="E4" s="9" t="s">
        <v>51</v>
      </c>
      <c r="F4" s="9" t="s">
        <v>52</v>
      </c>
      <c r="G4" s="10" t="s">
        <v>53</v>
      </c>
      <c r="H4" s="11" t="s">
        <v>48</v>
      </c>
      <c r="I4" s="9"/>
    </row>
    <row r="5" customFormat="false" ht="109.5" hidden="false" customHeight="true" outlineLevel="0" collapsed="false">
      <c r="A5" s="9" t="n">
        <v>4</v>
      </c>
      <c r="B5" s="9" t="s">
        <v>54</v>
      </c>
      <c r="C5" s="9" t="n">
        <v>2023</v>
      </c>
      <c r="D5" s="9" t="s">
        <v>55</v>
      </c>
      <c r="E5" s="9" t="s">
        <v>56</v>
      </c>
      <c r="F5" s="9" t="s">
        <v>57</v>
      </c>
      <c r="G5" s="10" t="s">
        <v>58</v>
      </c>
      <c r="H5" s="11" t="s">
        <v>48</v>
      </c>
      <c r="I5" s="9"/>
    </row>
    <row r="6" customFormat="false" ht="109.5" hidden="false" customHeight="true" outlineLevel="0" collapsed="false">
      <c r="A6" s="9" t="n">
        <v>5</v>
      </c>
      <c r="B6" s="9" t="s">
        <v>59</v>
      </c>
      <c r="C6" s="9" t="n">
        <v>2026</v>
      </c>
      <c r="D6" s="9" t="s">
        <v>39</v>
      </c>
      <c r="E6" s="9" t="s">
        <v>60</v>
      </c>
      <c r="F6" s="9" t="s">
        <v>61</v>
      </c>
      <c r="G6" s="10" t="s">
        <v>62</v>
      </c>
      <c r="H6" s="11" t="s">
        <v>43</v>
      </c>
      <c r="I6" s="9"/>
    </row>
    <row r="7" customFormat="false" ht="109.5" hidden="false" customHeight="true" outlineLevel="0" collapsed="false">
      <c r="A7" s="9" t="n">
        <v>6</v>
      </c>
      <c r="B7" s="9" t="s">
        <v>63</v>
      </c>
      <c r="C7" s="9" t="n">
        <v>2026</v>
      </c>
      <c r="D7" s="9" t="s">
        <v>39</v>
      </c>
      <c r="E7" s="9" t="s">
        <v>64</v>
      </c>
      <c r="F7" s="9"/>
      <c r="G7" s="10" t="s">
        <v>65</v>
      </c>
      <c r="H7" s="11" t="s">
        <v>48</v>
      </c>
      <c r="I7" s="9"/>
    </row>
    <row r="8" customFormat="false" ht="109.5" hidden="false" customHeight="true" outlineLevel="0" collapsed="false">
      <c r="A8" s="9" t="n">
        <v>7</v>
      </c>
      <c r="B8" s="9" t="s">
        <v>66</v>
      </c>
      <c r="C8" s="9" t="n">
        <v>2025</v>
      </c>
      <c r="D8" s="9" t="s">
        <v>67</v>
      </c>
      <c r="E8" s="9" t="s">
        <v>68</v>
      </c>
      <c r="F8" s="9" t="s">
        <v>69</v>
      </c>
      <c r="G8" s="10" t="s">
        <v>70</v>
      </c>
      <c r="H8" s="11" t="s">
        <v>48</v>
      </c>
      <c r="I8" s="9"/>
    </row>
    <row r="9" customFormat="false" ht="109.5" hidden="false" customHeight="true" outlineLevel="0" collapsed="false">
      <c r="A9" s="9" t="n">
        <v>8</v>
      </c>
      <c r="B9" s="9" t="s">
        <v>71</v>
      </c>
      <c r="C9" s="9" t="n">
        <v>2026</v>
      </c>
      <c r="D9" s="9" t="s">
        <v>55</v>
      </c>
      <c r="E9" s="9" t="s">
        <v>72</v>
      </c>
      <c r="F9" s="9" t="s">
        <v>73</v>
      </c>
      <c r="G9" s="10" t="s">
        <v>74</v>
      </c>
      <c r="H9" s="11" t="s">
        <v>43</v>
      </c>
      <c r="I9" s="9"/>
    </row>
    <row r="10" customFormat="false" ht="109.5" hidden="false" customHeight="true" outlineLevel="0" collapsed="false">
      <c r="A10" s="9" t="n">
        <v>9</v>
      </c>
      <c r="B10" s="9" t="s">
        <v>75</v>
      </c>
      <c r="C10" s="9" t="n">
        <v>2024</v>
      </c>
      <c r="D10" s="9" t="s">
        <v>39</v>
      </c>
      <c r="E10" s="9" t="s">
        <v>76</v>
      </c>
      <c r="F10" s="9"/>
      <c r="G10" s="10" t="s">
        <v>77</v>
      </c>
      <c r="H10" s="11" t="s">
        <v>48</v>
      </c>
      <c r="I10" s="9"/>
    </row>
    <row r="11" customFormat="false" ht="109.5" hidden="false" customHeight="true" outlineLevel="0" collapsed="false">
      <c r="A11" s="9" t="n">
        <v>10</v>
      </c>
      <c r="B11" s="9" t="s">
        <v>78</v>
      </c>
      <c r="C11" s="9" t="n">
        <v>2024</v>
      </c>
      <c r="D11" s="9" t="s">
        <v>55</v>
      </c>
      <c r="E11" s="9" t="s">
        <v>79</v>
      </c>
      <c r="F11" s="9" t="s">
        <v>80</v>
      </c>
      <c r="G11" s="10" t="s">
        <v>81</v>
      </c>
      <c r="H11" s="11" t="s">
        <v>48</v>
      </c>
      <c r="I11" s="9"/>
    </row>
    <row r="12" customFormat="false" ht="109.5" hidden="false" customHeight="true" outlineLevel="0" collapsed="false">
      <c r="A12" s="9" t="n">
        <v>11</v>
      </c>
      <c r="B12" s="9" t="s">
        <v>82</v>
      </c>
      <c r="C12" s="9" t="n">
        <v>2023</v>
      </c>
      <c r="D12" s="9" t="s">
        <v>55</v>
      </c>
      <c r="E12" s="9" t="s">
        <v>83</v>
      </c>
      <c r="F12" s="9" t="s">
        <v>84</v>
      </c>
      <c r="G12" s="10" t="s">
        <v>85</v>
      </c>
      <c r="H12" s="11" t="s">
        <v>48</v>
      </c>
      <c r="I12" s="9"/>
    </row>
    <row r="13" customFormat="false" ht="109.5" hidden="false" customHeight="true" outlineLevel="0" collapsed="false">
      <c r="A13" s="9" t="n">
        <v>12</v>
      </c>
      <c r="B13" s="9" t="s">
        <v>86</v>
      </c>
      <c r="C13" s="9" t="n">
        <v>2021</v>
      </c>
      <c r="D13" s="9" t="s">
        <v>39</v>
      </c>
      <c r="E13" s="9" t="s">
        <v>87</v>
      </c>
      <c r="F13" s="9"/>
      <c r="G13" s="10" t="s">
        <v>88</v>
      </c>
      <c r="H13" s="11" t="s">
        <v>48</v>
      </c>
      <c r="I13" s="9"/>
    </row>
    <row r="14" customFormat="false" ht="109.5" hidden="false" customHeight="true" outlineLevel="0" collapsed="false">
      <c r="A14" s="9" t="n">
        <v>13</v>
      </c>
      <c r="B14" s="9" t="s">
        <v>89</v>
      </c>
      <c r="C14" s="9" t="n">
        <v>2026</v>
      </c>
      <c r="D14" s="9" t="s">
        <v>55</v>
      </c>
      <c r="E14" s="9" t="s">
        <v>90</v>
      </c>
      <c r="F14" s="9" t="s">
        <v>91</v>
      </c>
      <c r="G14" s="10" t="s">
        <v>92</v>
      </c>
      <c r="H14" s="11" t="s">
        <v>43</v>
      </c>
      <c r="I14" s="9"/>
    </row>
    <row r="15" customFormat="false" ht="109.5" hidden="false" customHeight="true" outlineLevel="0" collapsed="false">
      <c r="A15" s="9" t="n">
        <v>14</v>
      </c>
      <c r="B15" s="9" t="s">
        <v>93</v>
      </c>
      <c r="C15" s="9" t="n">
        <v>2026</v>
      </c>
      <c r="D15" s="9" t="s">
        <v>55</v>
      </c>
      <c r="E15" s="9" t="s">
        <v>94</v>
      </c>
      <c r="F15" s="9" t="s">
        <v>95</v>
      </c>
      <c r="G15" s="10" t="s">
        <v>96</v>
      </c>
      <c r="H15" s="11" t="s">
        <v>43</v>
      </c>
      <c r="I15" s="9"/>
    </row>
    <row r="16" customFormat="false" ht="109.5" hidden="false" customHeight="true" outlineLevel="0" collapsed="false">
      <c r="A16" s="9" t="n">
        <v>15</v>
      </c>
      <c r="B16" s="9" t="s">
        <v>97</v>
      </c>
      <c r="C16" s="9" t="n">
        <v>2026</v>
      </c>
      <c r="D16" s="9" t="s">
        <v>39</v>
      </c>
      <c r="E16" s="9" t="s">
        <v>98</v>
      </c>
      <c r="F16" s="9" t="s">
        <v>99</v>
      </c>
      <c r="G16" s="10" t="s">
        <v>100</v>
      </c>
      <c r="H16" s="11" t="s">
        <v>48</v>
      </c>
      <c r="I16" s="9"/>
    </row>
    <row r="17" customFormat="false" ht="109.5" hidden="false" customHeight="true" outlineLevel="0" collapsed="false">
      <c r="A17" s="9" t="n">
        <v>16</v>
      </c>
      <c r="B17" s="9" t="s">
        <v>101</v>
      </c>
      <c r="C17" s="9" t="n">
        <v>2026</v>
      </c>
      <c r="D17" s="9" t="s">
        <v>39</v>
      </c>
      <c r="E17" s="9" t="s">
        <v>102</v>
      </c>
      <c r="F17" s="9" t="s">
        <v>103</v>
      </c>
      <c r="G17" s="10" t="s">
        <v>104</v>
      </c>
      <c r="H17" s="11" t="s">
        <v>48</v>
      </c>
      <c r="I17" s="9"/>
    </row>
    <row r="18" customFormat="false" ht="109.5" hidden="false" customHeight="true" outlineLevel="0" collapsed="false">
      <c r="A18" s="9" t="n">
        <v>17</v>
      </c>
      <c r="B18" s="9" t="s">
        <v>105</v>
      </c>
      <c r="C18" s="9" t="n">
        <v>2023</v>
      </c>
      <c r="D18" s="9" t="s">
        <v>39</v>
      </c>
      <c r="E18" s="9" t="s">
        <v>106</v>
      </c>
      <c r="F18" s="9" t="s">
        <v>107</v>
      </c>
      <c r="G18" s="10" t="s">
        <v>108</v>
      </c>
      <c r="H18" s="11" t="s">
        <v>48</v>
      </c>
      <c r="I18" s="9" t="s">
        <v>109</v>
      </c>
    </row>
    <row r="19" customFormat="false" ht="109.5" hidden="false" customHeight="true" outlineLevel="0" collapsed="false">
      <c r="A19" s="9" t="n">
        <v>18</v>
      </c>
      <c r="B19" s="9" t="s">
        <v>110</v>
      </c>
      <c r="C19" s="9" t="n">
        <v>1993</v>
      </c>
      <c r="D19" s="9" t="s">
        <v>50</v>
      </c>
      <c r="E19" s="9" t="s">
        <v>111</v>
      </c>
      <c r="F19" s="9" t="s">
        <v>112</v>
      </c>
      <c r="G19" s="10" t="s">
        <v>113</v>
      </c>
      <c r="H19" s="11" t="s">
        <v>48</v>
      </c>
      <c r="I19" s="9"/>
    </row>
    <row r="20" customFormat="false" ht="109.5" hidden="false" customHeight="true" outlineLevel="0" collapsed="false">
      <c r="A20" s="9" t="n">
        <v>19</v>
      </c>
      <c r="B20" s="9" t="s">
        <v>114</v>
      </c>
      <c r="C20" s="9" t="n">
        <v>2018</v>
      </c>
      <c r="D20" s="9" t="s">
        <v>39</v>
      </c>
      <c r="E20" s="9" t="s">
        <v>115</v>
      </c>
      <c r="F20" s="9"/>
      <c r="G20" s="10" t="s">
        <v>116</v>
      </c>
      <c r="H20" s="11" t="s">
        <v>48</v>
      </c>
      <c r="I20" s="9"/>
    </row>
    <row r="21" customFormat="false" ht="109.5" hidden="false" customHeight="true" outlineLevel="0" collapsed="false">
      <c r="A21" s="9" t="n">
        <v>20</v>
      </c>
      <c r="B21" s="9" t="s">
        <v>117</v>
      </c>
      <c r="C21" s="9" t="n">
        <v>2025</v>
      </c>
      <c r="D21" s="9" t="s">
        <v>55</v>
      </c>
      <c r="E21" s="9" t="s">
        <v>118</v>
      </c>
      <c r="F21" s="9" t="s">
        <v>119</v>
      </c>
      <c r="G21" s="10" t="s">
        <v>120</v>
      </c>
      <c r="H21" s="11" t="s">
        <v>48</v>
      </c>
      <c r="I21" s="9" t="s">
        <v>121</v>
      </c>
    </row>
    <row r="22" customFormat="false" ht="109.5" hidden="false" customHeight="true" outlineLevel="0" collapsed="false">
      <c r="A22" s="9" t="n">
        <v>21</v>
      </c>
      <c r="B22" s="9" t="s">
        <v>122</v>
      </c>
      <c r="C22" s="9" t="n">
        <v>2022</v>
      </c>
      <c r="D22" s="9" t="s">
        <v>39</v>
      </c>
      <c r="E22" s="9" t="s">
        <v>123</v>
      </c>
      <c r="F22" s="9" t="s">
        <v>124</v>
      </c>
      <c r="G22" s="10" t="s">
        <v>125</v>
      </c>
      <c r="H22" s="11" t="s">
        <v>48</v>
      </c>
      <c r="I22" s="9"/>
    </row>
    <row r="23" customFormat="false" ht="109.5" hidden="false" customHeight="true" outlineLevel="0" collapsed="false">
      <c r="A23" s="9" t="n">
        <v>22</v>
      </c>
      <c r="B23" s="9" t="s">
        <v>126</v>
      </c>
      <c r="C23" s="9" t="n">
        <v>2026</v>
      </c>
      <c r="D23" s="9" t="s">
        <v>55</v>
      </c>
      <c r="E23" s="9" t="s">
        <v>127</v>
      </c>
      <c r="F23" s="9" t="s">
        <v>128</v>
      </c>
      <c r="G23" s="10" t="s">
        <v>129</v>
      </c>
      <c r="H23" s="11" t="s">
        <v>48</v>
      </c>
      <c r="I23" s="9"/>
    </row>
    <row r="24" customFormat="false" ht="109.5" hidden="false" customHeight="true" outlineLevel="0" collapsed="false">
      <c r="A24" s="9" t="n">
        <v>23</v>
      </c>
      <c r="B24" s="9" t="s">
        <v>130</v>
      </c>
      <c r="C24" s="9" t="n">
        <v>2024</v>
      </c>
      <c r="D24" s="9" t="s">
        <v>39</v>
      </c>
      <c r="E24" s="9" t="s">
        <v>131</v>
      </c>
      <c r="F24" s="9" t="s">
        <v>132</v>
      </c>
      <c r="G24" s="10" t="s">
        <v>133</v>
      </c>
      <c r="H24" s="11" t="s">
        <v>48</v>
      </c>
      <c r="I24" s="9"/>
    </row>
    <row r="25" customFormat="false" ht="109.5" hidden="false" customHeight="true" outlineLevel="0" collapsed="false">
      <c r="A25" s="9" t="n">
        <v>24</v>
      </c>
      <c r="B25" s="9" t="s">
        <v>134</v>
      </c>
      <c r="C25" s="9" t="n">
        <v>2026</v>
      </c>
      <c r="D25" s="9" t="s">
        <v>55</v>
      </c>
      <c r="E25" s="9" t="s">
        <v>135</v>
      </c>
      <c r="F25" s="9" t="s">
        <v>136</v>
      </c>
      <c r="G25" s="10" t="s">
        <v>137</v>
      </c>
      <c r="H25" s="11" t="s">
        <v>48</v>
      </c>
      <c r="I25" s="9"/>
    </row>
    <row r="26" customFormat="false" ht="109.5" hidden="false" customHeight="true" outlineLevel="0" collapsed="false">
      <c r="A26" s="9" t="n">
        <v>25</v>
      </c>
      <c r="B26" s="9" t="s">
        <v>138</v>
      </c>
      <c r="C26" s="9" t="n">
        <v>2026</v>
      </c>
      <c r="D26" s="9" t="s">
        <v>55</v>
      </c>
      <c r="E26" s="9" t="s">
        <v>139</v>
      </c>
      <c r="F26" s="9" t="s">
        <v>140</v>
      </c>
      <c r="G26" s="10" t="s">
        <v>141</v>
      </c>
      <c r="H26" s="11" t="s">
        <v>48</v>
      </c>
      <c r="I26" s="9"/>
    </row>
    <row r="27" customFormat="false" ht="109.5" hidden="false" customHeight="true" outlineLevel="0" collapsed="false">
      <c r="A27" s="9" t="n">
        <v>26</v>
      </c>
      <c r="B27" s="9" t="s">
        <v>142</v>
      </c>
      <c r="C27" s="9" t="n">
        <v>2025</v>
      </c>
      <c r="D27" s="9" t="s">
        <v>55</v>
      </c>
      <c r="E27" s="9" t="s">
        <v>143</v>
      </c>
      <c r="F27" s="9" t="s">
        <v>144</v>
      </c>
      <c r="G27" s="10" t="s">
        <v>145</v>
      </c>
      <c r="H27" s="11" t="s">
        <v>43</v>
      </c>
      <c r="I27" s="9"/>
    </row>
    <row r="28" customFormat="false" ht="109.5" hidden="false" customHeight="true" outlineLevel="0" collapsed="false">
      <c r="A28" s="9" t="n">
        <v>27</v>
      </c>
      <c r="B28" s="9" t="s">
        <v>146</v>
      </c>
      <c r="C28" s="9" t="n">
        <v>2025</v>
      </c>
      <c r="D28" s="9" t="s">
        <v>55</v>
      </c>
      <c r="E28" s="9" t="s">
        <v>147</v>
      </c>
      <c r="F28" s="9" t="s">
        <v>148</v>
      </c>
      <c r="G28" s="10" t="s">
        <v>149</v>
      </c>
      <c r="H28" s="11" t="s">
        <v>48</v>
      </c>
      <c r="I28" s="9"/>
    </row>
    <row r="29" customFormat="false" ht="109.5" hidden="false" customHeight="true" outlineLevel="0" collapsed="false">
      <c r="A29" s="9" t="n">
        <v>28</v>
      </c>
      <c r="B29" s="9" t="s">
        <v>150</v>
      </c>
      <c r="C29" s="9" t="n">
        <v>2026</v>
      </c>
      <c r="D29" s="9" t="s">
        <v>55</v>
      </c>
      <c r="E29" s="9" t="s">
        <v>151</v>
      </c>
      <c r="F29" s="9" t="s">
        <v>152</v>
      </c>
      <c r="G29" s="10" t="s">
        <v>153</v>
      </c>
      <c r="H29" s="11" t="s">
        <v>48</v>
      </c>
      <c r="I29" s="9"/>
    </row>
    <row r="30" customFormat="false" ht="109.5" hidden="false" customHeight="true" outlineLevel="0" collapsed="false">
      <c r="A30" s="9" t="n">
        <v>29</v>
      </c>
      <c r="B30" s="9" t="s">
        <v>154</v>
      </c>
      <c r="C30" s="9" t="n">
        <v>2023</v>
      </c>
      <c r="D30" s="9" t="s">
        <v>50</v>
      </c>
      <c r="E30" s="9" t="s">
        <v>155</v>
      </c>
      <c r="F30" s="9" t="s">
        <v>156</v>
      </c>
      <c r="G30" s="10" t="s">
        <v>157</v>
      </c>
      <c r="H30" s="11" t="s">
        <v>48</v>
      </c>
      <c r="I30" s="9"/>
    </row>
    <row r="31" customFormat="false" ht="109.5" hidden="false" customHeight="true" outlineLevel="0" collapsed="false">
      <c r="A31" s="9" t="n">
        <v>30</v>
      </c>
      <c r="B31" s="9" t="s">
        <v>158</v>
      </c>
      <c r="C31" s="9" t="n">
        <v>2026</v>
      </c>
      <c r="D31" s="9" t="s">
        <v>39</v>
      </c>
      <c r="E31" s="9" t="s">
        <v>159</v>
      </c>
      <c r="F31" s="9" t="s">
        <v>160</v>
      </c>
      <c r="G31" s="10" t="s">
        <v>161</v>
      </c>
      <c r="H31" s="11" t="s">
        <v>48</v>
      </c>
      <c r="I31" s="9"/>
    </row>
    <row r="32" customFormat="false" ht="109.5" hidden="false" customHeight="true" outlineLevel="0" collapsed="false">
      <c r="A32" s="9" t="n">
        <v>31</v>
      </c>
      <c r="B32" s="9" t="s">
        <v>162</v>
      </c>
      <c r="C32" s="9" t="n">
        <v>2026</v>
      </c>
      <c r="D32" s="9" t="s">
        <v>39</v>
      </c>
      <c r="E32" s="9" t="s">
        <v>163</v>
      </c>
      <c r="F32" s="9" t="s">
        <v>164</v>
      </c>
      <c r="G32" s="10" t="s">
        <v>165</v>
      </c>
      <c r="H32" s="11" t="s">
        <v>48</v>
      </c>
      <c r="I32" s="9"/>
    </row>
    <row r="33" customFormat="false" ht="109.5" hidden="false" customHeight="true" outlineLevel="0" collapsed="false">
      <c r="A33" s="9" t="n">
        <v>32</v>
      </c>
      <c r="B33" s="9" t="s">
        <v>166</v>
      </c>
      <c r="C33" s="9" t="n">
        <v>2025</v>
      </c>
      <c r="D33" s="9" t="s">
        <v>55</v>
      </c>
      <c r="E33" s="9" t="s">
        <v>167</v>
      </c>
      <c r="F33" s="9" t="s">
        <v>168</v>
      </c>
      <c r="G33" s="10" t="s">
        <v>169</v>
      </c>
      <c r="H33" s="11" t="s">
        <v>48</v>
      </c>
      <c r="I33" s="9"/>
    </row>
    <row r="34" customFormat="false" ht="109.5" hidden="false" customHeight="true" outlineLevel="0" collapsed="false">
      <c r="A34" s="9" t="n">
        <v>33</v>
      </c>
      <c r="B34" s="9" t="s">
        <v>170</v>
      </c>
      <c r="C34" s="9" t="n">
        <v>2026</v>
      </c>
      <c r="D34" s="9" t="s">
        <v>55</v>
      </c>
      <c r="E34" s="9" t="s">
        <v>171</v>
      </c>
      <c r="F34" s="9" t="s">
        <v>172</v>
      </c>
      <c r="G34" s="10" t="s">
        <v>173</v>
      </c>
      <c r="H34" s="11" t="s">
        <v>43</v>
      </c>
      <c r="I34" s="9"/>
    </row>
    <row r="35" customFormat="false" ht="109.5" hidden="false" customHeight="true" outlineLevel="0" collapsed="false">
      <c r="A35" s="9" t="n">
        <v>34</v>
      </c>
      <c r="B35" s="9" t="s">
        <v>174</v>
      </c>
      <c r="C35" s="9" t="n">
        <v>2026</v>
      </c>
      <c r="D35" s="9" t="s">
        <v>55</v>
      </c>
      <c r="E35" s="9" t="s">
        <v>175</v>
      </c>
      <c r="F35" s="9" t="s">
        <v>176</v>
      </c>
      <c r="G35" s="10" t="s">
        <v>177</v>
      </c>
      <c r="H35" s="11" t="s">
        <v>48</v>
      </c>
      <c r="I35" s="9"/>
    </row>
    <row r="36" customFormat="false" ht="109.5" hidden="false" customHeight="true" outlineLevel="0" collapsed="false">
      <c r="A36" s="9" t="n">
        <v>35</v>
      </c>
      <c r="B36" s="9" t="s">
        <v>178</v>
      </c>
      <c r="C36" s="9" t="n">
        <v>2020</v>
      </c>
      <c r="D36" s="9" t="s">
        <v>39</v>
      </c>
      <c r="E36" s="9" t="s">
        <v>179</v>
      </c>
      <c r="F36" s="9" t="s">
        <v>180</v>
      </c>
      <c r="G36" s="10" t="s">
        <v>181</v>
      </c>
      <c r="H36" s="11" t="s">
        <v>48</v>
      </c>
      <c r="I36" s="9"/>
    </row>
    <row r="37" customFormat="false" ht="109.5" hidden="false" customHeight="true" outlineLevel="0" collapsed="false">
      <c r="A37" s="9" t="n">
        <v>36</v>
      </c>
      <c r="B37" s="9" t="s">
        <v>182</v>
      </c>
      <c r="C37" s="9" t="n">
        <v>2026</v>
      </c>
      <c r="D37" s="9" t="s">
        <v>39</v>
      </c>
      <c r="E37" s="9" t="s">
        <v>183</v>
      </c>
      <c r="F37" s="9" t="s">
        <v>184</v>
      </c>
      <c r="G37" s="10" t="s">
        <v>185</v>
      </c>
      <c r="H37" s="11" t="s">
        <v>48</v>
      </c>
      <c r="I37" s="9"/>
    </row>
    <row r="38" customFormat="false" ht="109.5" hidden="false" customHeight="true" outlineLevel="0" collapsed="false">
      <c r="A38" s="9" t="n">
        <v>37</v>
      </c>
      <c r="B38" s="9" t="s">
        <v>186</v>
      </c>
      <c r="C38" s="9" t="n">
        <v>2020</v>
      </c>
      <c r="D38" s="9" t="s">
        <v>39</v>
      </c>
      <c r="E38" s="9" t="s">
        <v>187</v>
      </c>
      <c r="F38" s="9" t="s">
        <v>188</v>
      </c>
      <c r="G38" s="10" t="s">
        <v>189</v>
      </c>
      <c r="H38" s="11" t="s">
        <v>48</v>
      </c>
      <c r="I38" s="9"/>
    </row>
    <row r="39" customFormat="false" ht="109.5" hidden="false" customHeight="true" outlineLevel="0" collapsed="false">
      <c r="A39" s="9" t="n">
        <v>38</v>
      </c>
      <c r="B39" s="9" t="s">
        <v>190</v>
      </c>
      <c r="C39" s="9" t="n">
        <v>2026</v>
      </c>
      <c r="D39" s="9" t="s">
        <v>55</v>
      </c>
      <c r="E39" s="9" t="s">
        <v>191</v>
      </c>
      <c r="F39" s="9" t="s">
        <v>192</v>
      </c>
      <c r="G39" s="10" t="s">
        <v>193</v>
      </c>
      <c r="H39" s="11" t="s">
        <v>48</v>
      </c>
      <c r="I39" s="9"/>
    </row>
    <row r="40" customFormat="false" ht="109.5" hidden="false" customHeight="true" outlineLevel="0" collapsed="false">
      <c r="A40" s="9" t="n">
        <v>39</v>
      </c>
      <c r="B40" s="9" t="s">
        <v>194</v>
      </c>
      <c r="C40" s="9" t="n">
        <v>2025</v>
      </c>
      <c r="D40" s="9" t="s">
        <v>39</v>
      </c>
      <c r="E40" s="9" t="s">
        <v>195</v>
      </c>
      <c r="F40" s="9" t="s">
        <v>196</v>
      </c>
      <c r="G40" s="10" t="s">
        <v>197</v>
      </c>
      <c r="H40" s="11" t="s">
        <v>48</v>
      </c>
      <c r="I40" s="9"/>
    </row>
    <row r="41" customFormat="false" ht="109.5" hidden="false" customHeight="true" outlineLevel="0" collapsed="false">
      <c r="A41" s="9" t="n">
        <v>40</v>
      </c>
      <c r="B41" s="9" t="s">
        <v>198</v>
      </c>
      <c r="C41" s="9" t="n">
        <v>2024</v>
      </c>
      <c r="D41" s="9" t="s">
        <v>50</v>
      </c>
      <c r="E41" s="9" t="s">
        <v>199</v>
      </c>
      <c r="F41" s="9" t="s">
        <v>200</v>
      </c>
      <c r="G41" s="10" t="s">
        <v>201</v>
      </c>
      <c r="H41" s="11" t="s">
        <v>48</v>
      </c>
      <c r="I41" s="9"/>
    </row>
    <row r="42" customFormat="false" ht="109.5" hidden="false" customHeight="true" outlineLevel="0" collapsed="false">
      <c r="A42" s="9" t="n">
        <v>41</v>
      </c>
      <c r="B42" s="9" t="s">
        <v>202</v>
      </c>
      <c r="C42" s="9" t="n">
        <v>2026</v>
      </c>
      <c r="D42" s="9" t="s">
        <v>39</v>
      </c>
      <c r="E42" s="9" t="s">
        <v>203</v>
      </c>
      <c r="F42" s="9" t="s">
        <v>204</v>
      </c>
      <c r="G42" s="10" t="s">
        <v>205</v>
      </c>
      <c r="H42" s="11" t="s">
        <v>48</v>
      </c>
      <c r="I42" s="9"/>
    </row>
    <row r="43" customFormat="false" ht="109.5" hidden="false" customHeight="true" outlineLevel="0" collapsed="false">
      <c r="A43" s="9" t="n">
        <v>42</v>
      </c>
      <c r="B43" s="9" t="s">
        <v>206</v>
      </c>
      <c r="C43" s="9" t="n">
        <v>2026</v>
      </c>
      <c r="D43" s="9" t="s">
        <v>39</v>
      </c>
      <c r="E43" s="9" t="s">
        <v>207</v>
      </c>
      <c r="F43" s="9" t="s">
        <v>208</v>
      </c>
      <c r="G43" s="10" t="s">
        <v>209</v>
      </c>
      <c r="H43" s="11" t="s">
        <v>43</v>
      </c>
      <c r="I43" s="9"/>
    </row>
    <row r="44" customFormat="false" ht="109.5" hidden="false" customHeight="true" outlineLevel="0" collapsed="false">
      <c r="A44" s="9" t="n">
        <v>43</v>
      </c>
      <c r="B44" s="9" t="s">
        <v>210</v>
      </c>
      <c r="C44" s="9" t="n">
        <v>2022</v>
      </c>
      <c r="D44" s="9" t="s">
        <v>50</v>
      </c>
      <c r="E44" s="9" t="s">
        <v>211</v>
      </c>
      <c r="F44" s="9" t="s">
        <v>212</v>
      </c>
      <c r="G44" s="10" t="s">
        <v>213</v>
      </c>
      <c r="H44" s="11" t="s">
        <v>48</v>
      </c>
      <c r="I44" s="9"/>
    </row>
    <row r="45" customFormat="false" ht="109.5" hidden="false" customHeight="true" outlineLevel="0" collapsed="false">
      <c r="A45" s="9" t="n">
        <v>44</v>
      </c>
      <c r="B45" s="9" t="s">
        <v>214</v>
      </c>
      <c r="C45" s="9" t="n">
        <v>2022</v>
      </c>
      <c r="D45" s="9" t="s">
        <v>55</v>
      </c>
      <c r="E45" s="9" t="s">
        <v>215</v>
      </c>
      <c r="F45" s="9" t="s">
        <v>216</v>
      </c>
      <c r="G45" s="10" t="s">
        <v>217</v>
      </c>
      <c r="H45" s="11" t="s">
        <v>48</v>
      </c>
      <c r="I45" s="9"/>
    </row>
    <row r="46" customFormat="false" ht="109.5" hidden="false" customHeight="true" outlineLevel="0" collapsed="false">
      <c r="A46" s="9" t="n">
        <v>45</v>
      </c>
      <c r="B46" s="9" t="s">
        <v>218</v>
      </c>
      <c r="C46" s="9" t="n">
        <v>2024</v>
      </c>
      <c r="D46" s="9" t="s">
        <v>50</v>
      </c>
      <c r="E46" s="9" t="s">
        <v>219</v>
      </c>
      <c r="F46" s="9" t="s">
        <v>220</v>
      </c>
      <c r="G46" s="10" t="s">
        <v>221</v>
      </c>
      <c r="H46" s="11" t="s">
        <v>48</v>
      </c>
      <c r="I46" s="9"/>
    </row>
    <row r="47" customFormat="false" ht="109.5" hidden="false" customHeight="true" outlineLevel="0" collapsed="false">
      <c r="A47" s="9" t="n">
        <v>46</v>
      </c>
      <c r="B47" s="9" t="s">
        <v>222</v>
      </c>
      <c r="C47" s="9" t="n">
        <v>2026</v>
      </c>
      <c r="D47" s="9" t="s">
        <v>39</v>
      </c>
      <c r="E47" s="9" t="s">
        <v>223</v>
      </c>
      <c r="F47" s="9"/>
      <c r="G47" s="10" t="s">
        <v>224</v>
      </c>
      <c r="H47" s="11" t="s">
        <v>48</v>
      </c>
      <c r="I47" s="9"/>
    </row>
    <row r="48" customFormat="false" ht="109.5" hidden="false" customHeight="true" outlineLevel="0" collapsed="false">
      <c r="A48" s="9" t="n">
        <v>47</v>
      </c>
      <c r="B48" s="9" t="s">
        <v>225</v>
      </c>
      <c r="C48" s="9" t="n">
        <v>2025</v>
      </c>
      <c r="D48" s="9" t="s">
        <v>55</v>
      </c>
      <c r="E48" s="9" t="s">
        <v>226</v>
      </c>
      <c r="F48" s="9" t="s">
        <v>227</v>
      </c>
      <c r="G48" s="10" t="s">
        <v>228</v>
      </c>
      <c r="H48" s="11" t="s">
        <v>48</v>
      </c>
      <c r="I48" s="9"/>
    </row>
    <row r="49" customFormat="false" ht="109.5" hidden="false" customHeight="true" outlineLevel="0" collapsed="false">
      <c r="A49" s="9" t="n">
        <v>48</v>
      </c>
      <c r="B49" s="9" t="s">
        <v>229</v>
      </c>
      <c r="C49" s="9" t="n">
        <v>2022</v>
      </c>
      <c r="D49" s="9" t="s">
        <v>39</v>
      </c>
      <c r="E49" s="9" t="s">
        <v>230</v>
      </c>
      <c r="F49" s="9" t="s">
        <v>231</v>
      </c>
      <c r="G49" s="10" t="s">
        <v>232</v>
      </c>
      <c r="H49" s="11" t="s">
        <v>48</v>
      </c>
      <c r="I49" s="9"/>
    </row>
    <row r="50" customFormat="false" ht="109.5" hidden="false" customHeight="true" outlineLevel="0" collapsed="false">
      <c r="A50" s="9" t="n">
        <v>49</v>
      </c>
      <c r="B50" s="9" t="s">
        <v>233</v>
      </c>
      <c r="C50" s="9" t="n">
        <v>2026</v>
      </c>
      <c r="D50" s="9" t="s">
        <v>39</v>
      </c>
      <c r="E50" s="9" t="s">
        <v>234</v>
      </c>
      <c r="F50" s="9" t="s">
        <v>235</v>
      </c>
      <c r="G50" s="10" t="s">
        <v>236</v>
      </c>
      <c r="H50" s="11" t="s">
        <v>48</v>
      </c>
      <c r="I50" s="9"/>
    </row>
    <row r="51" customFormat="false" ht="109.5" hidden="false" customHeight="true" outlineLevel="0" collapsed="false">
      <c r="A51" s="9" t="n">
        <v>50</v>
      </c>
      <c r="B51" s="9" t="s">
        <v>237</v>
      </c>
      <c r="C51" s="9" t="n">
        <v>2025</v>
      </c>
      <c r="D51" s="9" t="s">
        <v>39</v>
      </c>
      <c r="E51" s="9" t="s">
        <v>238</v>
      </c>
      <c r="F51" s="9" t="s">
        <v>239</v>
      </c>
      <c r="G51" s="10" t="s">
        <v>240</v>
      </c>
      <c r="H51" s="11" t="s">
        <v>48</v>
      </c>
      <c r="I51" s="9"/>
    </row>
    <row r="52" customFormat="false" ht="109.5" hidden="false" customHeight="true" outlineLevel="0" collapsed="false">
      <c r="A52" s="9" t="n">
        <v>51</v>
      </c>
      <c r="B52" s="9" t="s">
        <v>241</v>
      </c>
      <c r="C52" s="9" t="n">
        <v>2019</v>
      </c>
      <c r="D52" s="9" t="s">
        <v>39</v>
      </c>
      <c r="E52" s="9" t="s">
        <v>242</v>
      </c>
      <c r="F52" s="9" t="s">
        <v>243</v>
      </c>
      <c r="G52" s="10" t="s">
        <v>244</v>
      </c>
      <c r="H52" s="11" t="s">
        <v>48</v>
      </c>
      <c r="I52" s="9"/>
    </row>
    <row r="53" customFormat="false" ht="109.5" hidden="false" customHeight="true" outlineLevel="0" collapsed="false">
      <c r="A53" s="9" t="n">
        <v>52</v>
      </c>
      <c r="B53" s="9" t="s">
        <v>245</v>
      </c>
      <c r="C53" s="9" t="n">
        <v>2026</v>
      </c>
      <c r="D53" s="9" t="s">
        <v>55</v>
      </c>
      <c r="E53" s="9" t="s">
        <v>246</v>
      </c>
      <c r="F53" s="9"/>
      <c r="G53" s="10" t="s">
        <v>247</v>
      </c>
      <c r="H53" s="11" t="s">
        <v>48</v>
      </c>
      <c r="I53" s="9" t="s">
        <v>248</v>
      </c>
    </row>
    <row r="54" customFormat="false" ht="109.5" hidden="false" customHeight="true" outlineLevel="0" collapsed="false">
      <c r="A54" s="9" t="n">
        <v>53</v>
      </c>
      <c r="B54" s="9" t="s">
        <v>249</v>
      </c>
      <c r="C54" s="9" t="n">
        <v>2026</v>
      </c>
      <c r="D54" s="9" t="s">
        <v>39</v>
      </c>
      <c r="E54" s="9" t="s">
        <v>250</v>
      </c>
      <c r="F54" s="9" t="s">
        <v>251</v>
      </c>
      <c r="G54" s="10" t="s">
        <v>252</v>
      </c>
      <c r="H54" s="11" t="s">
        <v>48</v>
      </c>
      <c r="I54" s="9"/>
    </row>
    <row r="55" customFormat="false" ht="109.5" hidden="false" customHeight="true" outlineLevel="0" collapsed="false">
      <c r="A55" s="9" t="n">
        <v>54</v>
      </c>
      <c r="B55" s="9" t="s">
        <v>253</v>
      </c>
      <c r="C55" s="9" t="n">
        <v>2025</v>
      </c>
      <c r="D55" s="9" t="s">
        <v>55</v>
      </c>
      <c r="E55" s="9" t="s">
        <v>254</v>
      </c>
      <c r="F55" s="9" t="s">
        <v>255</v>
      </c>
      <c r="G55" s="10" t="s">
        <v>256</v>
      </c>
      <c r="H55" s="11" t="s">
        <v>48</v>
      </c>
      <c r="I55" s="9"/>
    </row>
    <row r="56" customFormat="false" ht="109.5" hidden="false" customHeight="true" outlineLevel="0" collapsed="false">
      <c r="A56" s="9" t="n">
        <v>55</v>
      </c>
      <c r="B56" s="9" t="s">
        <v>257</v>
      </c>
      <c r="C56" s="9" t="n">
        <v>2026</v>
      </c>
      <c r="D56" s="9" t="s">
        <v>39</v>
      </c>
      <c r="E56" s="9" t="s">
        <v>258</v>
      </c>
      <c r="F56" s="9" t="s">
        <v>259</v>
      </c>
      <c r="G56" s="10" t="s">
        <v>260</v>
      </c>
      <c r="H56" s="11" t="s">
        <v>48</v>
      </c>
      <c r="I56" s="9"/>
    </row>
    <row r="57" customFormat="false" ht="109.5" hidden="false" customHeight="true" outlineLevel="0" collapsed="false">
      <c r="A57" s="9" t="n">
        <v>56</v>
      </c>
      <c r="B57" s="9" t="s">
        <v>261</v>
      </c>
      <c r="C57" s="9" t="n">
        <v>2026</v>
      </c>
      <c r="D57" s="9" t="s">
        <v>39</v>
      </c>
      <c r="E57" s="9" t="s">
        <v>262</v>
      </c>
      <c r="F57" s="9" t="s">
        <v>263</v>
      </c>
      <c r="G57" s="10" t="s">
        <v>264</v>
      </c>
      <c r="H57" s="11" t="s">
        <v>48</v>
      </c>
      <c r="I57" s="9"/>
    </row>
    <row r="58" customFormat="false" ht="109.5" hidden="false" customHeight="true" outlineLevel="0" collapsed="false">
      <c r="A58" s="9" t="n">
        <v>57</v>
      </c>
      <c r="B58" s="9" t="s">
        <v>265</v>
      </c>
      <c r="C58" s="9" t="n">
        <v>2025</v>
      </c>
      <c r="D58" s="9" t="s">
        <v>67</v>
      </c>
      <c r="E58" s="9" t="s">
        <v>266</v>
      </c>
      <c r="F58" s="9" t="s">
        <v>267</v>
      </c>
      <c r="G58" s="10" t="s">
        <v>268</v>
      </c>
      <c r="H58" s="11" t="s">
        <v>48</v>
      </c>
      <c r="I58" s="9"/>
    </row>
    <row r="59" customFormat="false" ht="109.5" hidden="false" customHeight="true" outlineLevel="0" collapsed="false">
      <c r="A59" s="9" t="n">
        <v>58</v>
      </c>
      <c r="B59" s="9" t="s">
        <v>269</v>
      </c>
      <c r="C59" s="9" t="n">
        <v>2026</v>
      </c>
      <c r="D59" s="9" t="s">
        <v>39</v>
      </c>
      <c r="E59" s="9" t="s">
        <v>270</v>
      </c>
      <c r="F59" s="9" t="s">
        <v>271</v>
      </c>
      <c r="G59" s="10" t="s">
        <v>272</v>
      </c>
      <c r="H59" s="11" t="s">
        <v>43</v>
      </c>
      <c r="I59" s="9"/>
    </row>
    <row r="60" customFormat="false" ht="109.5" hidden="false" customHeight="true" outlineLevel="0" collapsed="false">
      <c r="A60" s="9" t="n">
        <v>59</v>
      </c>
      <c r="B60" s="9" t="s">
        <v>273</v>
      </c>
      <c r="C60" s="9" t="n">
        <v>2019</v>
      </c>
      <c r="D60" s="9" t="s">
        <v>39</v>
      </c>
      <c r="E60" s="9" t="s">
        <v>274</v>
      </c>
      <c r="F60" s="9"/>
      <c r="G60" s="10" t="s">
        <v>275</v>
      </c>
      <c r="H60" s="11" t="s">
        <v>43</v>
      </c>
      <c r="I60" s="9"/>
    </row>
    <row r="61" customFormat="false" ht="109.5" hidden="false" customHeight="true" outlineLevel="0" collapsed="false">
      <c r="A61" s="9" t="n">
        <v>60</v>
      </c>
      <c r="B61" s="9" t="s">
        <v>276</v>
      </c>
      <c r="C61" s="9" t="n">
        <v>2023</v>
      </c>
      <c r="D61" s="9" t="s">
        <v>67</v>
      </c>
      <c r="E61" s="9" t="s">
        <v>277</v>
      </c>
      <c r="F61" s="9" t="s">
        <v>278</v>
      </c>
      <c r="G61" s="10" t="s">
        <v>279</v>
      </c>
      <c r="H61" s="11" t="s">
        <v>48</v>
      </c>
      <c r="I61" s="9"/>
    </row>
    <row r="62" customFormat="false" ht="109.5" hidden="false" customHeight="true" outlineLevel="0" collapsed="false">
      <c r="A62" s="9" t="n">
        <v>61</v>
      </c>
      <c r="B62" s="9" t="s">
        <v>280</v>
      </c>
      <c r="C62" s="9" t="n">
        <v>2025</v>
      </c>
      <c r="D62" s="9" t="s">
        <v>39</v>
      </c>
      <c r="E62" s="9" t="s">
        <v>281</v>
      </c>
      <c r="F62" s="9" t="s">
        <v>282</v>
      </c>
      <c r="G62" s="10" t="s">
        <v>283</v>
      </c>
      <c r="H62" s="11" t="s">
        <v>48</v>
      </c>
      <c r="I62" s="9"/>
    </row>
    <row r="63" customFormat="false" ht="109.5" hidden="false" customHeight="true" outlineLevel="0" collapsed="false">
      <c r="A63" s="9" t="n">
        <v>62</v>
      </c>
      <c r="B63" s="9" t="s">
        <v>284</v>
      </c>
      <c r="C63" s="9" t="n">
        <v>2026</v>
      </c>
      <c r="D63" s="9" t="s">
        <v>39</v>
      </c>
      <c r="E63" s="9" t="s">
        <v>285</v>
      </c>
      <c r="F63" s="9" t="s">
        <v>286</v>
      </c>
      <c r="G63" s="10" t="s">
        <v>287</v>
      </c>
      <c r="H63" s="11" t="s">
        <v>48</v>
      </c>
      <c r="I63" s="9"/>
    </row>
    <row r="64" customFormat="false" ht="109.5" hidden="false" customHeight="true" outlineLevel="0" collapsed="false">
      <c r="A64" s="9" t="n">
        <v>63</v>
      </c>
      <c r="B64" s="9" t="s">
        <v>288</v>
      </c>
      <c r="C64" s="9" t="n">
        <v>2026</v>
      </c>
      <c r="D64" s="9" t="s">
        <v>50</v>
      </c>
      <c r="E64" s="9" t="s">
        <v>289</v>
      </c>
      <c r="F64" s="9" t="s">
        <v>290</v>
      </c>
      <c r="G64" s="10" t="s">
        <v>291</v>
      </c>
      <c r="H64" s="11" t="s">
        <v>43</v>
      </c>
      <c r="I64" s="9"/>
    </row>
    <row r="65" customFormat="false" ht="109.5" hidden="false" customHeight="true" outlineLevel="0" collapsed="false">
      <c r="A65" s="9" t="n">
        <v>64</v>
      </c>
      <c r="B65" s="9" t="s">
        <v>292</v>
      </c>
      <c r="C65" s="9" t="n">
        <v>1994</v>
      </c>
      <c r="D65" s="9" t="s">
        <v>39</v>
      </c>
      <c r="E65" s="9" t="s">
        <v>293</v>
      </c>
      <c r="F65" s="9" t="s">
        <v>294</v>
      </c>
      <c r="G65" s="10" t="s">
        <v>295</v>
      </c>
      <c r="H65" s="11" t="s">
        <v>48</v>
      </c>
      <c r="I65" s="9"/>
    </row>
    <row r="66" customFormat="false" ht="109.5" hidden="false" customHeight="true" outlineLevel="0" collapsed="false">
      <c r="A66" s="9" t="n">
        <v>65</v>
      </c>
      <c r="B66" s="9" t="s">
        <v>296</v>
      </c>
      <c r="C66" s="9" t="n">
        <v>2026</v>
      </c>
      <c r="D66" s="9" t="s">
        <v>55</v>
      </c>
      <c r="E66" s="9" t="s">
        <v>297</v>
      </c>
      <c r="F66" s="9" t="s">
        <v>298</v>
      </c>
      <c r="G66" s="10" t="s">
        <v>299</v>
      </c>
      <c r="H66" s="11" t="s">
        <v>43</v>
      </c>
      <c r="I66" s="9"/>
    </row>
    <row r="67" customFormat="false" ht="109.5" hidden="false" customHeight="true" outlineLevel="0" collapsed="false">
      <c r="A67" s="9" t="n">
        <v>66</v>
      </c>
      <c r="B67" s="9" t="s">
        <v>300</v>
      </c>
      <c r="C67" s="9" t="n">
        <v>2026</v>
      </c>
      <c r="D67" s="9" t="s">
        <v>55</v>
      </c>
      <c r="E67" s="9" t="s">
        <v>301</v>
      </c>
      <c r="F67" s="9" t="s">
        <v>302</v>
      </c>
      <c r="G67" s="10" t="s">
        <v>303</v>
      </c>
      <c r="H67" s="11" t="s">
        <v>43</v>
      </c>
      <c r="I67" s="9"/>
    </row>
    <row r="68" customFormat="false" ht="109.5" hidden="false" customHeight="true" outlineLevel="0" collapsed="false">
      <c r="A68" s="9" t="n">
        <v>67</v>
      </c>
      <c r="B68" s="9" t="s">
        <v>304</v>
      </c>
      <c r="C68" s="9" t="n">
        <v>2026</v>
      </c>
      <c r="D68" s="9" t="s">
        <v>55</v>
      </c>
      <c r="E68" s="9" t="s">
        <v>305</v>
      </c>
      <c r="F68" s="9" t="s">
        <v>306</v>
      </c>
      <c r="G68" s="10" t="s">
        <v>307</v>
      </c>
      <c r="H68" s="11" t="s">
        <v>48</v>
      </c>
      <c r="I68" s="9"/>
    </row>
    <row r="69" customFormat="false" ht="109.5" hidden="false" customHeight="true" outlineLevel="0" collapsed="false">
      <c r="A69" s="9" t="n">
        <v>68</v>
      </c>
      <c r="B69" s="9" t="s">
        <v>308</v>
      </c>
      <c r="C69" s="9" t="n">
        <v>2026</v>
      </c>
      <c r="D69" s="9" t="s">
        <v>55</v>
      </c>
      <c r="E69" s="9" t="s">
        <v>309</v>
      </c>
      <c r="F69" s="9" t="s">
        <v>310</v>
      </c>
      <c r="G69" s="10" t="s">
        <v>311</v>
      </c>
      <c r="H69" s="11" t="s">
        <v>48</v>
      </c>
      <c r="I69" s="9"/>
    </row>
    <row r="70" customFormat="false" ht="109.5" hidden="false" customHeight="true" outlineLevel="0" collapsed="false">
      <c r="A70" s="9" t="n">
        <v>69</v>
      </c>
      <c r="B70" s="9" t="s">
        <v>312</v>
      </c>
      <c r="C70" s="9" t="n">
        <v>2025</v>
      </c>
      <c r="D70" s="9" t="s">
        <v>39</v>
      </c>
      <c r="E70" s="9" t="s">
        <v>313</v>
      </c>
      <c r="F70" s="9" t="s">
        <v>314</v>
      </c>
      <c r="G70" s="10" t="s">
        <v>315</v>
      </c>
      <c r="H70" s="11" t="s">
        <v>48</v>
      </c>
      <c r="I70" s="9"/>
    </row>
    <row r="71" customFormat="false" ht="109.5" hidden="false" customHeight="true" outlineLevel="0" collapsed="false">
      <c r="A71" s="9" t="n">
        <v>70</v>
      </c>
      <c r="B71" s="9" t="s">
        <v>316</v>
      </c>
      <c r="C71" s="9" t="n">
        <v>2026</v>
      </c>
      <c r="D71" s="9" t="s">
        <v>39</v>
      </c>
      <c r="E71" s="9" t="s">
        <v>317</v>
      </c>
      <c r="F71" s="9" t="s">
        <v>318</v>
      </c>
      <c r="G71" s="10" t="s">
        <v>319</v>
      </c>
      <c r="H71" s="11" t="s">
        <v>48</v>
      </c>
      <c r="I71" s="9"/>
    </row>
    <row r="72" customFormat="false" ht="109.5" hidden="false" customHeight="true" outlineLevel="0" collapsed="false">
      <c r="A72" s="9" t="n">
        <v>71</v>
      </c>
      <c r="B72" s="9" t="s">
        <v>320</v>
      </c>
      <c r="C72" s="9" t="n">
        <v>2025</v>
      </c>
      <c r="D72" s="9" t="s">
        <v>39</v>
      </c>
      <c r="E72" s="9" t="s">
        <v>321</v>
      </c>
      <c r="F72" s="9" t="s">
        <v>322</v>
      </c>
      <c r="G72" s="10" t="s">
        <v>323</v>
      </c>
      <c r="H72" s="11" t="s">
        <v>48</v>
      </c>
      <c r="I72" s="9"/>
    </row>
    <row r="73" customFormat="false" ht="109.5" hidden="false" customHeight="true" outlineLevel="0" collapsed="false">
      <c r="A73" s="9" t="n">
        <v>72</v>
      </c>
      <c r="B73" s="9" t="s">
        <v>324</v>
      </c>
      <c r="C73" s="9" t="n">
        <v>2025</v>
      </c>
      <c r="D73" s="9" t="s">
        <v>55</v>
      </c>
      <c r="E73" s="9" t="s">
        <v>325</v>
      </c>
      <c r="F73" s="9" t="s">
        <v>326</v>
      </c>
      <c r="G73" s="10" t="s">
        <v>327</v>
      </c>
      <c r="H73" s="11" t="s">
        <v>48</v>
      </c>
      <c r="I73" s="9"/>
    </row>
    <row r="74" customFormat="false" ht="109.5" hidden="false" customHeight="true" outlineLevel="0" collapsed="false">
      <c r="A74" s="9" t="n">
        <v>73</v>
      </c>
      <c r="B74" s="9" t="s">
        <v>328</v>
      </c>
      <c r="C74" s="9" t="n">
        <v>2023</v>
      </c>
      <c r="D74" s="9" t="s">
        <v>67</v>
      </c>
      <c r="E74" s="9" t="s">
        <v>329</v>
      </c>
      <c r="F74" s="9"/>
      <c r="G74" s="10" t="s">
        <v>330</v>
      </c>
      <c r="H74" s="11" t="s">
        <v>43</v>
      </c>
      <c r="I74" s="9"/>
    </row>
    <row r="75" customFormat="false" ht="109.5" hidden="false" customHeight="true" outlineLevel="0" collapsed="false">
      <c r="A75" s="9" t="n">
        <v>74</v>
      </c>
      <c r="B75" s="9" t="s">
        <v>331</v>
      </c>
      <c r="C75" s="9" t="n">
        <v>2020</v>
      </c>
      <c r="D75" s="9" t="s">
        <v>55</v>
      </c>
      <c r="E75" s="9" t="s">
        <v>332</v>
      </c>
      <c r="F75" s="9" t="s">
        <v>333</v>
      </c>
      <c r="G75" s="10" t="s">
        <v>334</v>
      </c>
      <c r="H75" s="11" t="s">
        <v>48</v>
      </c>
      <c r="I75" s="9"/>
    </row>
    <row r="76" customFormat="false" ht="109.5" hidden="false" customHeight="true" outlineLevel="0" collapsed="false">
      <c r="A76" s="9" t="n">
        <v>75</v>
      </c>
      <c r="B76" s="9" t="s">
        <v>335</v>
      </c>
      <c r="C76" s="9" t="n">
        <v>2004</v>
      </c>
      <c r="D76" s="9" t="s">
        <v>39</v>
      </c>
      <c r="E76" s="9" t="s">
        <v>336</v>
      </c>
      <c r="F76" s="9" t="s">
        <v>337</v>
      </c>
      <c r="G76" s="10" t="s">
        <v>338</v>
      </c>
      <c r="H76" s="11" t="s">
        <v>48</v>
      </c>
      <c r="I76" s="9"/>
    </row>
    <row r="77" customFormat="false" ht="109.5" hidden="false" customHeight="true" outlineLevel="0" collapsed="false">
      <c r="A77" s="9" t="n">
        <v>76</v>
      </c>
      <c r="B77" s="9" t="s">
        <v>339</v>
      </c>
      <c r="C77" s="9" t="n">
        <v>2026</v>
      </c>
      <c r="D77" s="9" t="s">
        <v>55</v>
      </c>
      <c r="E77" s="9" t="s">
        <v>340</v>
      </c>
      <c r="F77" s="9" t="s">
        <v>341</v>
      </c>
      <c r="G77" s="10" t="s">
        <v>342</v>
      </c>
      <c r="H77" s="11" t="s">
        <v>48</v>
      </c>
      <c r="I77" s="9"/>
    </row>
    <row r="78" customFormat="false" ht="109.5" hidden="false" customHeight="true" outlineLevel="0" collapsed="false">
      <c r="A78" s="9" t="n">
        <v>77</v>
      </c>
      <c r="B78" s="9" t="s">
        <v>343</v>
      </c>
      <c r="C78" s="9" t="n">
        <v>2026</v>
      </c>
      <c r="D78" s="9" t="s">
        <v>55</v>
      </c>
      <c r="E78" s="9" t="s">
        <v>344</v>
      </c>
      <c r="F78" s="9"/>
      <c r="G78" s="10" t="s">
        <v>345</v>
      </c>
      <c r="H78" s="11" t="s">
        <v>48</v>
      </c>
      <c r="I78" s="9"/>
    </row>
    <row r="79" customFormat="false" ht="109.5" hidden="false" customHeight="true" outlineLevel="0" collapsed="false">
      <c r="A79" s="9" t="n">
        <v>78</v>
      </c>
      <c r="B79" s="9" t="s">
        <v>346</v>
      </c>
      <c r="C79" s="9" t="n">
        <v>2026</v>
      </c>
      <c r="D79" s="9" t="s">
        <v>55</v>
      </c>
      <c r="E79" s="9" t="s">
        <v>347</v>
      </c>
      <c r="F79" s="9" t="s">
        <v>348</v>
      </c>
      <c r="G79" s="10" t="s">
        <v>349</v>
      </c>
      <c r="H79" s="11" t="s">
        <v>48</v>
      </c>
      <c r="I79" s="9"/>
    </row>
    <row r="80" customFormat="false" ht="109.5" hidden="false" customHeight="true" outlineLevel="0" collapsed="false">
      <c r="A80" s="9" t="n">
        <v>79</v>
      </c>
      <c r="B80" s="9" t="s">
        <v>350</v>
      </c>
      <c r="C80" s="9" t="n">
        <v>2024</v>
      </c>
      <c r="D80" s="9" t="s">
        <v>39</v>
      </c>
      <c r="E80" s="9" t="s">
        <v>351</v>
      </c>
      <c r="F80" s="9" t="s">
        <v>352</v>
      </c>
      <c r="G80" s="10" t="s">
        <v>353</v>
      </c>
      <c r="H80" s="11" t="s">
        <v>48</v>
      </c>
      <c r="I80" s="9"/>
    </row>
    <row r="81" customFormat="false" ht="109.5" hidden="false" customHeight="true" outlineLevel="0" collapsed="false">
      <c r="A81" s="9" t="n">
        <v>80</v>
      </c>
      <c r="B81" s="9" t="s">
        <v>354</v>
      </c>
      <c r="C81" s="9" t="n">
        <v>2016</v>
      </c>
      <c r="D81" s="9" t="s">
        <v>39</v>
      </c>
      <c r="E81" s="9" t="s">
        <v>355</v>
      </c>
      <c r="F81" s="9"/>
      <c r="G81" s="10" t="s">
        <v>356</v>
      </c>
      <c r="H81" s="11" t="s">
        <v>48</v>
      </c>
      <c r="I81" s="9"/>
    </row>
    <row r="82" customFormat="false" ht="109.5" hidden="false" customHeight="true" outlineLevel="0" collapsed="false">
      <c r="A82" s="9" t="n">
        <v>81</v>
      </c>
      <c r="B82" s="9" t="s">
        <v>357</v>
      </c>
      <c r="C82" s="9" t="n">
        <v>2023</v>
      </c>
      <c r="D82" s="9" t="s">
        <v>55</v>
      </c>
      <c r="E82" s="9" t="s">
        <v>358</v>
      </c>
      <c r="F82" s="9" t="s">
        <v>359</v>
      </c>
      <c r="G82" s="10" t="s">
        <v>360</v>
      </c>
      <c r="H82" s="11" t="s">
        <v>48</v>
      </c>
      <c r="I82" s="9"/>
    </row>
    <row r="83" customFormat="false" ht="109.5" hidden="false" customHeight="true" outlineLevel="0" collapsed="false">
      <c r="A83" s="9" t="n">
        <v>82</v>
      </c>
      <c r="B83" s="9" t="s">
        <v>361</v>
      </c>
      <c r="C83" s="9" t="n">
        <v>2010</v>
      </c>
      <c r="D83" s="9" t="s">
        <v>50</v>
      </c>
      <c r="E83" s="9" t="s">
        <v>362</v>
      </c>
      <c r="F83" s="9"/>
      <c r="G83" s="10" t="s">
        <v>363</v>
      </c>
      <c r="H83" s="11" t="s">
        <v>48</v>
      </c>
      <c r="I83" s="9"/>
    </row>
    <row r="84" customFormat="false" ht="109.5" hidden="false" customHeight="true" outlineLevel="0" collapsed="false">
      <c r="A84" s="9" t="n">
        <v>83</v>
      </c>
      <c r="B84" s="9" t="s">
        <v>364</v>
      </c>
      <c r="C84" s="9" t="n">
        <v>2026</v>
      </c>
      <c r="D84" s="9" t="s">
        <v>55</v>
      </c>
      <c r="E84" s="9" t="s">
        <v>365</v>
      </c>
      <c r="F84" s="9" t="s">
        <v>366</v>
      </c>
      <c r="G84" s="10" t="s">
        <v>367</v>
      </c>
      <c r="H84" s="11" t="s">
        <v>48</v>
      </c>
      <c r="I84" s="9"/>
    </row>
    <row r="85" customFormat="false" ht="109.5" hidden="false" customHeight="true" outlineLevel="0" collapsed="false">
      <c r="A85" s="9" t="n">
        <v>84</v>
      </c>
      <c r="B85" s="9" t="s">
        <v>368</v>
      </c>
      <c r="C85" s="9" t="n">
        <v>2026</v>
      </c>
      <c r="D85" s="9" t="s">
        <v>55</v>
      </c>
      <c r="E85" s="9" t="s">
        <v>369</v>
      </c>
      <c r="F85" s="9"/>
      <c r="G85" s="10" t="s">
        <v>370</v>
      </c>
      <c r="H85" s="11" t="s">
        <v>48</v>
      </c>
      <c r="I85" s="9"/>
    </row>
    <row r="86" customFormat="false" ht="109.5" hidden="false" customHeight="true" outlineLevel="0" collapsed="false">
      <c r="A86" s="9" t="n">
        <v>85</v>
      </c>
      <c r="B86" s="9" t="s">
        <v>371</v>
      </c>
      <c r="C86" s="9" t="n">
        <v>2026</v>
      </c>
      <c r="D86" s="9" t="s">
        <v>55</v>
      </c>
      <c r="E86" s="9" t="s">
        <v>372</v>
      </c>
      <c r="F86" s="9" t="s">
        <v>373</v>
      </c>
      <c r="G86" s="10" t="s">
        <v>374</v>
      </c>
      <c r="H86" s="11" t="s">
        <v>43</v>
      </c>
      <c r="I86" s="9"/>
    </row>
    <row r="87" customFormat="false" ht="109.5" hidden="false" customHeight="true" outlineLevel="0" collapsed="false">
      <c r="A87" s="9" t="n">
        <v>86</v>
      </c>
      <c r="B87" s="9" t="s">
        <v>375</v>
      </c>
      <c r="C87" s="9" t="n">
        <v>2026</v>
      </c>
      <c r="D87" s="9" t="s">
        <v>55</v>
      </c>
      <c r="E87" s="9" t="s">
        <v>376</v>
      </c>
      <c r="F87" s="9" t="s">
        <v>377</v>
      </c>
      <c r="G87" s="10" t="s">
        <v>378</v>
      </c>
      <c r="H87" s="11" t="s">
        <v>43</v>
      </c>
      <c r="I87" s="9"/>
    </row>
    <row r="88" customFormat="false" ht="109.5" hidden="false" customHeight="true" outlineLevel="0" collapsed="false">
      <c r="A88" s="9" t="n">
        <v>87</v>
      </c>
      <c r="B88" s="9" t="s">
        <v>379</v>
      </c>
      <c r="C88" s="9" t="n">
        <v>2026</v>
      </c>
      <c r="D88" s="9" t="s">
        <v>55</v>
      </c>
      <c r="E88" s="9" t="s">
        <v>380</v>
      </c>
      <c r="F88" s="9" t="s">
        <v>381</v>
      </c>
      <c r="G88" s="10" t="s">
        <v>382</v>
      </c>
      <c r="H88" s="11" t="s">
        <v>43</v>
      </c>
      <c r="I88" s="9"/>
    </row>
    <row r="89" customFormat="false" ht="109.5" hidden="false" customHeight="true" outlineLevel="0" collapsed="false">
      <c r="A89" s="9" t="n">
        <v>88</v>
      </c>
      <c r="B89" s="9" t="s">
        <v>383</v>
      </c>
      <c r="C89" s="9" t="n">
        <v>2025</v>
      </c>
      <c r="D89" s="9" t="s">
        <v>55</v>
      </c>
      <c r="E89" s="9" t="s">
        <v>384</v>
      </c>
      <c r="F89" s="9" t="s">
        <v>385</v>
      </c>
      <c r="G89" s="10" t="s">
        <v>386</v>
      </c>
      <c r="H89" s="11" t="s">
        <v>48</v>
      </c>
      <c r="I89" s="9" t="s">
        <v>387</v>
      </c>
    </row>
    <row r="90" customFormat="false" ht="109.5" hidden="false" customHeight="true" outlineLevel="0" collapsed="false">
      <c r="A90" s="9" t="n">
        <v>89</v>
      </c>
      <c r="B90" s="9" t="s">
        <v>388</v>
      </c>
      <c r="C90" s="9" t="n">
        <v>2021</v>
      </c>
      <c r="D90" s="9" t="s">
        <v>39</v>
      </c>
      <c r="E90" s="9" t="s">
        <v>389</v>
      </c>
      <c r="F90" s="9" t="s">
        <v>390</v>
      </c>
      <c r="G90" s="10" t="s">
        <v>391</v>
      </c>
      <c r="H90" s="11" t="s">
        <v>48</v>
      </c>
      <c r="I90" s="9"/>
    </row>
    <row r="91" customFormat="false" ht="109.5" hidden="false" customHeight="true" outlineLevel="0" collapsed="false">
      <c r="A91" s="9" t="n">
        <v>90</v>
      </c>
      <c r="B91" s="9" t="s">
        <v>392</v>
      </c>
      <c r="C91" s="9" t="n">
        <v>2023</v>
      </c>
      <c r="D91" s="9" t="s">
        <v>39</v>
      </c>
      <c r="E91" s="9" t="s">
        <v>393</v>
      </c>
      <c r="F91" s="9" t="s">
        <v>394</v>
      </c>
      <c r="G91" s="10" t="s">
        <v>395</v>
      </c>
      <c r="H91" s="11" t="s">
        <v>48</v>
      </c>
      <c r="I91" s="9"/>
    </row>
    <row r="92" customFormat="false" ht="109.5" hidden="false" customHeight="true" outlineLevel="0" collapsed="false">
      <c r="A92" s="9" t="n">
        <v>91</v>
      </c>
      <c r="B92" s="9" t="s">
        <v>396</v>
      </c>
      <c r="C92" s="9" t="n">
        <v>2026</v>
      </c>
      <c r="D92" s="9" t="s">
        <v>55</v>
      </c>
      <c r="E92" s="9" t="s">
        <v>397</v>
      </c>
      <c r="F92" s="9" t="s">
        <v>398</v>
      </c>
      <c r="G92" s="10" t="s">
        <v>399</v>
      </c>
      <c r="H92" s="11" t="s">
        <v>48</v>
      </c>
      <c r="I92" s="9"/>
    </row>
    <row r="93" customFormat="false" ht="109.5" hidden="false" customHeight="true" outlineLevel="0" collapsed="false">
      <c r="A93" s="9" t="n">
        <v>92</v>
      </c>
      <c r="B93" s="9" t="s">
        <v>400</v>
      </c>
      <c r="C93" s="9" t="n">
        <v>2025</v>
      </c>
      <c r="D93" s="9" t="s">
        <v>39</v>
      </c>
      <c r="E93" s="9" t="s">
        <v>401</v>
      </c>
      <c r="F93" s="9" t="s">
        <v>402</v>
      </c>
      <c r="G93" s="10" t="s">
        <v>403</v>
      </c>
      <c r="H93" s="11" t="s">
        <v>48</v>
      </c>
      <c r="I93" s="9"/>
    </row>
    <row r="94" customFormat="false" ht="109.5" hidden="false" customHeight="true" outlineLevel="0" collapsed="false">
      <c r="A94" s="9" t="n">
        <v>93</v>
      </c>
      <c r="B94" s="9" t="s">
        <v>404</v>
      </c>
      <c r="C94" s="9" t="n">
        <v>2026</v>
      </c>
      <c r="D94" s="9" t="s">
        <v>39</v>
      </c>
      <c r="E94" s="9" t="s">
        <v>405</v>
      </c>
      <c r="F94" s="9" t="s">
        <v>406</v>
      </c>
      <c r="G94" s="10" t="s">
        <v>407</v>
      </c>
      <c r="H94" s="11" t="s">
        <v>48</v>
      </c>
      <c r="I94" s="9"/>
    </row>
    <row r="95" customFormat="false" ht="109.5" hidden="false" customHeight="true" outlineLevel="0" collapsed="false">
      <c r="A95" s="9" t="n">
        <v>94</v>
      </c>
      <c r="B95" s="9" t="s">
        <v>408</v>
      </c>
      <c r="C95" s="9" t="n">
        <v>2026</v>
      </c>
      <c r="D95" s="9" t="s">
        <v>55</v>
      </c>
      <c r="E95" s="9" t="s">
        <v>409</v>
      </c>
      <c r="F95" s="9" t="s">
        <v>410</v>
      </c>
      <c r="G95" s="10" t="s">
        <v>411</v>
      </c>
      <c r="H95" s="11" t="s">
        <v>43</v>
      </c>
      <c r="I95" s="9"/>
    </row>
    <row r="96" customFormat="false" ht="109.5" hidden="false" customHeight="true" outlineLevel="0" collapsed="false">
      <c r="A96" s="9" t="n">
        <v>95</v>
      </c>
      <c r="B96" s="9" t="s">
        <v>412</v>
      </c>
      <c r="C96" s="9" t="n">
        <v>2026</v>
      </c>
      <c r="D96" s="9" t="s">
        <v>39</v>
      </c>
      <c r="E96" s="9" t="s">
        <v>413</v>
      </c>
      <c r="F96" s="9" t="s">
        <v>414</v>
      </c>
      <c r="G96" s="10" t="s">
        <v>415</v>
      </c>
      <c r="H96" s="11" t="s">
        <v>48</v>
      </c>
      <c r="I96" s="9"/>
    </row>
    <row r="97" customFormat="false" ht="109.5" hidden="false" customHeight="true" outlineLevel="0" collapsed="false">
      <c r="A97" s="9" t="n">
        <v>96</v>
      </c>
      <c r="B97" s="9" t="s">
        <v>416</v>
      </c>
      <c r="C97" s="9" t="n">
        <v>2021</v>
      </c>
      <c r="D97" s="9" t="s">
        <v>55</v>
      </c>
      <c r="E97" s="9" t="s">
        <v>417</v>
      </c>
      <c r="F97" s="9" t="s">
        <v>418</v>
      </c>
      <c r="G97" s="10" t="s">
        <v>419</v>
      </c>
      <c r="H97" s="11" t="s">
        <v>48</v>
      </c>
      <c r="I97" s="9"/>
    </row>
    <row r="98" customFormat="false" ht="109.5" hidden="false" customHeight="true" outlineLevel="0" collapsed="false">
      <c r="A98" s="9" t="n">
        <v>97</v>
      </c>
      <c r="B98" s="9" t="s">
        <v>420</v>
      </c>
      <c r="C98" s="9" t="n">
        <v>2026</v>
      </c>
      <c r="D98" s="9" t="s">
        <v>55</v>
      </c>
      <c r="E98" s="9" t="s">
        <v>421</v>
      </c>
      <c r="F98" s="9" t="s">
        <v>422</v>
      </c>
      <c r="G98" s="10" t="s">
        <v>423</v>
      </c>
      <c r="H98" s="11" t="s">
        <v>48</v>
      </c>
      <c r="I98" s="9"/>
    </row>
    <row r="99" customFormat="false" ht="109.5" hidden="false" customHeight="true" outlineLevel="0" collapsed="false">
      <c r="A99" s="9" t="n">
        <v>98</v>
      </c>
      <c r="B99" s="9" t="s">
        <v>424</v>
      </c>
      <c r="C99" s="9" t="n">
        <v>2022</v>
      </c>
      <c r="D99" s="9" t="s">
        <v>39</v>
      </c>
      <c r="E99" s="9" t="s">
        <v>425</v>
      </c>
      <c r="F99" s="9"/>
      <c r="G99" s="10" t="s">
        <v>426</v>
      </c>
      <c r="H99" s="11" t="s">
        <v>48</v>
      </c>
      <c r="I99" s="9"/>
    </row>
    <row r="100" customFormat="false" ht="109.5" hidden="false" customHeight="true" outlineLevel="0" collapsed="false">
      <c r="A100" s="9" t="n">
        <v>99</v>
      </c>
      <c r="B100" s="9" t="s">
        <v>427</v>
      </c>
      <c r="C100" s="9" t="n">
        <v>2026</v>
      </c>
      <c r="D100" s="9" t="s">
        <v>39</v>
      </c>
      <c r="E100" s="9" t="s">
        <v>428</v>
      </c>
      <c r="F100" s="9" t="s">
        <v>429</v>
      </c>
      <c r="G100" s="10" t="s">
        <v>430</v>
      </c>
      <c r="H100" s="11" t="s">
        <v>48</v>
      </c>
      <c r="I100" s="9"/>
    </row>
    <row r="101" customFormat="false" ht="109.5" hidden="false" customHeight="true" outlineLevel="0" collapsed="false">
      <c r="A101" s="9" t="n">
        <v>100</v>
      </c>
      <c r="B101" s="9" t="s">
        <v>431</v>
      </c>
      <c r="C101" s="9" t="n">
        <v>2026</v>
      </c>
      <c r="D101" s="9" t="s">
        <v>39</v>
      </c>
      <c r="E101" s="9" t="s">
        <v>432</v>
      </c>
      <c r="F101" s="9" t="s">
        <v>433</v>
      </c>
      <c r="G101" s="10" t="s">
        <v>434</v>
      </c>
      <c r="H101" s="11" t="s">
        <v>48</v>
      </c>
      <c r="I101" s="9"/>
    </row>
  </sheetData>
  <autoFilter ref="A1:I101"/>
  <dataValidations count="1">
    <dataValidation allowBlank="true" errorStyle="stop" operator="between" showDropDown="false" showErrorMessage="false" showInputMessage="false" sqref="H2:H101" type="list">
      <formula1>"Y,N"</formula1>
      <formula2>0</formula2>
    </dataValidation>
  </dataValidations>
  <hyperlinks>
    <hyperlink ref="G2" r:id="rId1" display="https://doi.org/10.1007/s40243-026-00374-6"/>
    <hyperlink ref="G3" r:id="rId2" display="https://doi.org/10.1093/mam/ozae044.1008"/>
    <hyperlink ref="G4" r:id="rId3" display="https://doi.org/10.1299/jsmermd.2024.2p2-g10"/>
    <hyperlink ref="G5" r:id="rId4" display="https://doi.org/10.21203/rs.3.rs-2471685/v1"/>
    <hyperlink ref="G6" r:id="rId5" display="https://doi.org/10.5281/zenodo.22752004"/>
    <hyperlink ref="G7" r:id="rId6" display="https://doi.org/10.1016/j.cell.2026.01.012"/>
    <hyperlink ref="G8" r:id="rId7" display="https://doi.org/10.4018/979-8-3693-9208-9.ch013"/>
    <hyperlink ref="G9" r:id="rId8" display="https://doi.org/10.26434/chemrxiv.15007561/v1"/>
    <hyperlink ref="G10" r:id="rId9" display="https://openalex.org/W4226406950"/>
    <hyperlink ref="G11" r:id="rId10" display="https://doi.org/10.26434/chemrxiv-2024-mqb6s-v2"/>
    <hyperlink ref="G12" r:id="rId11" display="https://doi.org/10.48550/arxiv.2304.10267"/>
    <hyperlink ref="G13" r:id="rId12" display="https://doi.org/10.1016/j.chempr.2021.09.004"/>
    <hyperlink ref="G14" r:id="rId13" display="https://doi.org/10.5281/zenodo.21383331"/>
    <hyperlink ref="G15" r:id="rId14" display="https://openalex.org/W7167446164"/>
    <hyperlink ref="G16" r:id="rId15" display="https://doi.org/10.3390/bios16060309"/>
    <hyperlink ref="G17" r:id="rId16" display="https://doi.org/10.1039/d6nr02314b"/>
    <hyperlink ref="G18" r:id="rId17" display="https://doi.org/10.1038/s41524-023-00984-y"/>
    <hyperlink ref="G19" r:id="rId18" display="https://openalex.org/W1484117678"/>
    <hyperlink ref="G20" r:id="rId19" display="https://doi.org/10.1038/s41929-018-0142-1"/>
    <hyperlink ref="G21" r:id="rId20" display="https://doi.org/10.48550/arxiv.2510.23045"/>
    <hyperlink ref="G22" r:id="rId21" display="https://doi.org/10.1021/acssynbio.2c00015"/>
    <hyperlink ref="G23" r:id="rId22" display="https://doi.org/10.48550/arxiv.2608.04651"/>
    <hyperlink ref="G24" r:id="rId23" display="https://doi.org/10.1109/tase.2024.3474549"/>
    <hyperlink ref="G25" r:id="rId24" display="https://doi.org/10.64898/2026.06.10.731360"/>
    <hyperlink ref="G26" r:id="rId25" display="https://doi.org/10.48550/arxiv.2605.00868"/>
    <hyperlink ref="G27" r:id="rId26" display="https://doi.org/10.48550/arxiv.2511.13825"/>
    <hyperlink ref="G28" r:id="rId27" display="https://doi.org/10.48550/arxiv.2509.23426"/>
    <hyperlink ref="G29" r:id="rId28" display="https://doi.org/10.48550/arxiv.2604.16345"/>
    <hyperlink ref="G30" r:id="rId29" display="https://doi.org/10.15278/isms.2023.7259"/>
    <hyperlink ref="G31" r:id="rId30" display="https://doi.org/10.6084/m9.figshare.31698793.v1"/>
    <hyperlink ref="G32" r:id="rId31" display="https://doi.org/10.1021/acs.jctc.6c00571"/>
    <hyperlink ref="G33" r:id="rId32" display="https://doi.org/10.26434/chemrxiv-2025-17lfp"/>
    <hyperlink ref="G34" r:id="rId33" display="https://doi.org/10.48550/arxiv.2609.00365"/>
    <hyperlink ref="G35" r:id="rId34" display="https://doi.org/10.26434/chemrxiv.15003459/v1"/>
    <hyperlink ref="G36" r:id="rId35" display="https://doi.org/10.3389/frobt.2020.00024"/>
    <hyperlink ref="G37" r:id="rId36" display="https://doi.org/10.1038/s43246-026-01105-0"/>
    <hyperlink ref="G38" r:id="rId37" display="https://doi.org/10.1002/batt.202000102"/>
    <hyperlink ref="G39" r:id="rId38" display="https://doi.org/10.26434/chemrxiv.15000295/v1"/>
    <hyperlink ref="G40" r:id="rId39" display="https://openalex.org/W4414547760"/>
    <hyperlink ref="G41" r:id="rId40" display="https://doi.org/10.1109/iros58592.2024.10802186"/>
    <hyperlink ref="G42" r:id="rId41" display="https://doi.org/10.1039/d5dd00263j"/>
    <hyperlink ref="G43" r:id="rId42" display="https://doi.org/10.5281/zenodo.22762075"/>
    <hyperlink ref="G44" r:id="rId43" display="https://doi.org/10.1109/iros47612.2022.9981081"/>
    <hyperlink ref="G45" r:id="rId44" display="https://doi.org/10.48550/arxiv.2206.07108"/>
    <hyperlink ref="G46" r:id="rId45" display="https://doi.org/10.1299/jsmermd.2024.2p2-g03"/>
    <hyperlink ref="G47" r:id="rId46" display="https://doi.org/10.1016/j.engappai.2026.115568"/>
    <hyperlink ref="G48" r:id="rId47" display="https://doi.org/10.26434/chemrxiv-2025-lb8jt"/>
    <hyperlink ref="G49" r:id="rId48" display="https://doi.org/10.1038/s41467-022-32938-1"/>
    <hyperlink ref="G50" r:id="rId49" display="https://doi.org/10.1002/aisy.202501149"/>
    <hyperlink ref="G51" r:id="rId50" display="https://doi.org/10.1002/asia.202500825"/>
    <hyperlink ref="G52" r:id="rId51" display="https://doi.org/10.1016/j.ohx.2019.e00056"/>
    <hyperlink ref="G53" r:id="rId52" display="https://doi.org/10.21203/rs.3.rs-10521147/v1"/>
    <hyperlink ref="G54" r:id="rId53" display="https://doi.org/10.69709/caic.2026.133382"/>
    <hyperlink ref="G55" r:id="rId54" display="https://doi.org/10.26434/chemrxiv-2025-51tv8"/>
    <hyperlink ref="G56" r:id="rId55" display="https://doi.org/10.1002/slct.73624"/>
    <hyperlink ref="G57" r:id="rId56" display="https://doi.org/10.1039/d6dd00063k"/>
    <hyperlink ref="G58" r:id="rId57" display="https://doi.org/10.1515/9783111681870-004"/>
    <hyperlink ref="G59" r:id="rId58" display="https://doi.org/10.1002/adem.71258"/>
    <hyperlink ref="G60" r:id="rId59" display="https://doi.org/10.1016/j.ddtec.2020.06.001"/>
    <hyperlink ref="G61" r:id="rId60" display="https://doi.org/10.1201/9781003359593-1"/>
    <hyperlink ref="G62" r:id="rId61" display="https://doi.org/10.1039/d5dd00116a"/>
    <hyperlink ref="G63" r:id="rId62" display="https://doi.org/10.1021/acsanm.6c00443"/>
    <hyperlink ref="G64" r:id="rId63" display="https://doi.org/10.13031/aim.202600898"/>
    <hyperlink ref="G65" r:id="rId64" display="https://doi.org/10.1088/0960-1317/4/4/002"/>
    <hyperlink ref="G66" r:id="rId65" display="https://doi.org/10.48550/arxiv.2608.31119"/>
    <hyperlink ref="G67" r:id="rId66" display="https://doi.org/10.48550/arxiv.2606.07697"/>
    <hyperlink ref="G68" r:id="rId67" display="https://doi.org/10.48550/arxiv.2607.20662"/>
    <hyperlink ref="G69" r:id="rId68" display="https://doi.org/10.26434/chemrxiv-2026-1vrq1"/>
    <hyperlink ref="G70" r:id="rId69" display="https://doi.org/10.1038/s41524-024-01485-2"/>
    <hyperlink ref="G71" r:id="rId70" display="https://doi.org/10.1115/1.4072587"/>
    <hyperlink ref="G72" r:id="rId71" display="https://doi.org/10.3389/frobt.2024.1462717"/>
    <hyperlink ref="G73" r:id="rId72" display="https://doi.org/10.26434/chemrxiv-2025-zhkrf"/>
    <hyperlink ref="G74" r:id="rId73" display="https://doi.org/10.1016/b978-0-443-15274-0.50003-2"/>
    <hyperlink ref="G75" r:id="rId74" display="https://doi.org/10.26434/chemrxiv.12924968"/>
    <hyperlink ref="G76" r:id="rId75" display="https://doi.org/10.1021/op0341972"/>
    <hyperlink ref="G77" r:id="rId76" display="https://doi.org/10.64898/2026.03.02.709168"/>
    <hyperlink ref="G78" r:id="rId77" display="https://doi.org/10.21203/rs.3.rs-9360434/v1"/>
    <hyperlink ref="G79" r:id="rId78" display="https://doi.org/10.48550/arxiv.2605.18033"/>
    <hyperlink ref="G80" r:id="rId79" display="https://doi.org/10.1039/d4mh00797b"/>
    <hyperlink ref="G81" r:id="rId80" display="https://doi.org/10.1016/j.trac.2016.12.011"/>
    <hyperlink ref="G82" r:id="rId81" display="https://doi.org/10.48550/arxiv.2305.08248"/>
    <hyperlink ref="G83" r:id="rId82" display="https://doi.org/10.1007/978-3-642-16184-1_4"/>
    <hyperlink ref="G84" r:id="rId83" display="https://doi.org/10.26434/chemrxiv-2026-8c93m"/>
    <hyperlink ref="G85" r:id="rId84" display="https://doi.org/10.21203/rs.3.rs-10671592/v1"/>
    <hyperlink ref="G86" r:id="rId85" display="https://doi.org/10.5281/zenodo.21930642"/>
    <hyperlink ref="G87" r:id="rId86" display="https://doi.org/10.48550/arxiv.2606.22610"/>
    <hyperlink ref="G88" r:id="rId87" display="https://doi.org/10.48550/arxiv.2605.10246"/>
    <hyperlink ref="G89" r:id="rId88" display="https://doi.org/10.48550/arxiv.2503.22444"/>
    <hyperlink ref="G90" r:id="rId89" display="https://doi.org/10.1038/s41524-021-00656-9"/>
    <hyperlink ref="G91" r:id="rId90" display="https://doi.org/10.3791/65686"/>
    <hyperlink ref="G92" r:id="rId91" display="https://doi.org/10.48550/arxiv.2608.18618"/>
    <hyperlink ref="G93" r:id="rId92" display="https://doi.org/10.1039/d4dd00411f"/>
    <hyperlink ref="G94" r:id="rId93" display="https://doi.org/10.1021/acsmaterialslett.6c00558"/>
    <hyperlink ref="G95" r:id="rId94" display="https://doi.org/10.5281/zenodo.22308072"/>
    <hyperlink ref="G96" r:id="rId95" display="https://doi.org/10.1002/ange.3008697"/>
    <hyperlink ref="G97" r:id="rId96" display="https://doi.org/10.1101/2021.08.24.457462"/>
    <hyperlink ref="G98" r:id="rId97" display="https://doi.org/10.26434/chemrxiv.15000115/v1"/>
    <hyperlink ref="G99" r:id="rId98" display="https://doi.org/10.1016/j.matt.2022.08.004"/>
    <hyperlink ref="G100" r:id="rId99" display="https://doi.org/10.1515/cdbme-2026-0172"/>
    <hyperlink ref="G101" r:id="rId100" display="https://doi.org/10.1039/d6dd00557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3"/>
    <col collapsed="false" customWidth="true" hidden="false" outlineLevel="0" max="3" min="3" style="1" width="6"/>
    <col collapsed="false" customWidth="true" hidden="false" outlineLevel="0" max="4" min="4" style="1" width="10"/>
    <col collapsed="false" customWidth="true" hidden="false" outlineLevel="0" max="5" min="5" style="1" width="36"/>
    <col collapsed="false" customWidth="true" hidden="false" outlineLevel="0" max="6" min="6" style="1" width="62"/>
    <col collapsed="false" customWidth="true" hidden="false" outlineLevel="0" max="7" min="7" style="1" width="22"/>
    <col collapsed="false" customWidth="true" hidden="false" outlineLevel="0" max="8" min="8" style="1" width="16"/>
    <col collapsed="false" customWidth="true" hidden="false" outlineLevel="0" max="9" min="9" style="1" width="10"/>
    <col collapsed="false" customWidth="true" hidden="false" outlineLevel="0" max="11" min="10" style="1" width="18"/>
    <col collapsed="false" customWidth="true" hidden="false" outlineLevel="0" max="12" min="12" style="1" width="10"/>
    <col collapsed="false" customWidth="true" hidden="false" outlineLevel="0" max="13" min="13" style="1" width="20"/>
    <col collapsed="false" customWidth="true" hidden="false" outlineLevel="0" max="14" min="14" style="1" width="26"/>
  </cols>
  <sheetData>
    <row r="1" customFormat="false" ht="64.5" hidden="false" customHeight="true" outlineLevel="0" collapsed="false">
      <c r="A1" s="8" t="s">
        <v>29</v>
      </c>
      <c r="B1" s="8" t="s">
        <v>30</v>
      </c>
      <c r="C1" s="8" t="s">
        <v>31</v>
      </c>
      <c r="D1" s="8" t="s">
        <v>32</v>
      </c>
      <c r="E1" s="8" t="s">
        <v>33</v>
      </c>
      <c r="F1" s="8" t="s">
        <v>34</v>
      </c>
      <c r="G1" s="8" t="s">
        <v>35</v>
      </c>
      <c r="H1" s="8" t="s">
        <v>435</v>
      </c>
      <c r="I1" s="8" t="s">
        <v>436</v>
      </c>
      <c r="J1" s="8" t="s">
        <v>437</v>
      </c>
      <c r="K1" s="8" t="s">
        <v>438</v>
      </c>
      <c r="L1" s="8" t="s">
        <v>439</v>
      </c>
      <c r="M1" s="8" t="s">
        <v>440</v>
      </c>
      <c r="N1" s="8" t="s">
        <v>37</v>
      </c>
    </row>
    <row r="2" customFormat="false" ht="109.5" hidden="false" customHeight="true" outlineLevel="0" collapsed="false">
      <c r="A2" s="9" t="n">
        <v>1</v>
      </c>
      <c r="B2" s="9" t="s">
        <v>441</v>
      </c>
      <c r="C2" s="9" t="n">
        <v>2026</v>
      </c>
      <c r="D2" s="9" t="s">
        <v>39</v>
      </c>
      <c r="E2" s="9" t="s">
        <v>442</v>
      </c>
      <c r="F2" s="9" t="s">
        <v>443</v>
      </c>
      <c r="G2" s="10" t="s">
        <v>444</v>
      </c>
      <c r="H2" s="9" t="s">
        <v>445</v>
      </c>
      <c r="I2" s="11" t="s">
        <v>48</v>
      </c>
      <c r="J2" s="11"/>
      <c r="K2" s="9" t="s">
        <v>446</v>
      </c>
      <c r="L2" s="11" t="s">
        <v>48</v>
      </c>
      <c r="M2" s="11"/>
      <c r="N2" s="9"/>
    </row>
    <row r="3" customFormat="false" ht="109.5" hidden="false" customHeight="true" outlineLevel="0" collapsed="false">
      <c r="A3" s="9" t="n">
        <v>2</v>
      </c>
      <c r="B3" s="9" t="s">
        <v>447</v>
      </c>
      <c r="C3" s="9" t="n">
        <v>2026</v>
      </c>
      <c r="D3" s="9" t="s">
        <v>39</v>
      </c>
      <c r="E3" s="9" t="s">
        <v>448</v>
      </c>
      <c r="F3" s="9" t="s">
        <v>449</v>
      </c>
      <c r="G3" s="10" t="s">
        <v>450</v>
      </c>
      <c r="H3" s="9" t="s">
        <v>451</v>
      </c>
      <c r="I3" s="11" t="s">
        <v>48</v>
      </c>
      <c r="J3" s="11"/>
      <c r="K3" s="9" t="s">
        <v>452</v>
      </c>
      <c r="L3" s="11" t="s">
        <v>48</v>
      </c>
      <c r="M3" s="11"/>
      <c r="N3" s="9"/>
    </row>
    <row r="4" customFormat="false" ht="109.5" hidden="false" customHeight="true" outlineLevel="0" collapsed="false">
      <c r="A4" s="9" t="n">
        <v>3</v>
      </c>
      <c r="B4" s="9" t="s">
        <v>453</v>
      </c>
      <c r="C4" s="9" t="n">
        <v>2025</v>
      </c>
      <c r="D4" s="9" t="s">
        <v>55</v>
      </c>
      <c r="E4" s="9" t="s">
        <v>454</v>
      </c>
      <c r="F4" s="9" t="s">
        <v>455</v>
      </c>
      <c r="G4" s="10" t="s">
        <v>456</v>
      </c>
      <c r="H4" s="9" t="s">
        <v>445</v>
      </c>
      <c r="I4" s="11" t="s">
        <v>48</v>
      </c>
      <c r="J4" s="11"/>
      <c r="K4" s="9" t="s">
        <v>446</v>
      </c>
      <c r="L4" s="11" t="s">
        <v>48</v>
      </c>
      <c r="M4" s="11"/>
      <c r="N4" s="9"/>
    </row>
    <row r="5" customFormat="false" ht="109.5" hidden="false" customHeight="true" outlineLevel="0" collapsed="false">
      <c r="A5" s="9" t="n">
        <v>4</v>
      </c>
      <c r="B5" s="9" t="s">
        <v>457</v>
      </c>
      <c r="C5" s="9" t="n">
        <v>2026</v>
      </c>
      <c r="D5" s="9" t="s">
        <v>39</v>
      </c>
      <c r="E5" s="9" t="s">
        <v>458</v>
      </c>
      <c r="F5" s="9" t="s">
        <v>459</v>
      </c>
      <c r="G5" s="10" t="s">
        <v>460</v>
      </c>
      <c r="H5" s="9" t="s">
        <v>445</v>
      </c>
      <c r="I5" s="11" t="s">
        <v>48</v>
      </c>
      <c r="J5" s="11"/>
      <c r="K5" s="9" t="s">
        <v>446</v>
      </c>
      <c r="L5" s="11" t="s">
        <v>43</v>
      </c>
      <c r="M5" s="11" t="s">
        <v>461</v>
      </c>
      <c r="N5" s="9"/>
    </row>
    <row r="6" customFormat="false" ht="109.5" hidden="false" customHeight="true" outlineLevel="0" collapsed="false">
      <c r="A6" s="9" t="n">
        <v>5</v>
      </c>
      <c r="B6" s="9" t="s">
        <v>462</v>
      </c>
      <c r="C6" s="9" t="n">
        <v>2025</v>
      </c>
      <c r="D6" s="9" t="s">
        <v>50</v>
      </c>
      <c r="E6" s="9" t="s">
        <v>463</v>
      </c>
      <c r="F6" s="9" t="s">
        <v>464</v>
      </c>
      <c r="G6" s="10" t="s">
        <v>465</v>
      </c>
      <c r="H6" s="9" t="s">
        <v>466</v>
      </c>
      <c r="I6" s="11" t="s">
        <v>48</v>
      </c>
      <c r="J6" s="11"/>
      <c r="K6" s="9" t="s">
        <v>461</v>
      </c>
      <c r="L6" s="11" t="s">
        <v>43</v>
      </c>
      <c r="M6" s="11" t="s">
        <v>467</v>
      </c>
      <c r="N6" s="9"/>
    </row>
    <row r="7" customFormat="false" ht="109.5" hidden="false" customHeight="true" outlineLevel="0" collapsed="false">
      <c r="A7" s="9" t="n">
        <v>6</v>
      </c>
      <c r="B7" s="9" t="s">
        <v>468</v>
      </c>
      <c r="C7" s="9" t="n">
        <v>2024</v>
      </c>
      <c r="D7" s="9" t="s">
        <v>55</v>
      </c>
      <c r="E7" s="9" t="s">
        <v>469</v>
      </c>
      <c r="F7" s="9" t="s">
        <v>470</v>
      </c>
      <c r="G7" s="10" t="s">
        <v>471</v>
      </c>
      <c r="H7" s="9" t="s">
        <v>466</v>
      </c>
      <c r="I7" s="11" t="s">
        <v>48</v>
      </c>
      <c r="J7" s="11"/>
      <c r="K7" s="9" t="s">
        <v>446</v>
      </c>
      <c r="L7" s="11" t="s">
        <v>43</v>
      </c>
      <c r="M7" s="11" t="s">
        <v>467</v>
      </c>
      <c r="N7" s="9" t="s">
        <v>472</v>
      </c>
    </row>
    <row r="8" customFormat="false" ht="109.5" hidden="false" customHeight="true" outlineLevel="0" collapsed="false">
      <c r="A8" s="9" t="n">
        <v>7</v>
      </c>
      <c r="B8" s="9" t="s">
        <v>473</v>
      </c>
      <c r="C8" s="9" t="n">
        <v>2026</v>
      </c>
      <c r="D8" s="9" t="s">
        <v>55</v>
      </c>
      <c r="E8" s="9" t="s">
        <v>474</v>
      </c>
      <c r="F8" s="9" t="s">
        <v>475</v>
      </c>
      <c r="G8" s="10" t="s">
        <v>476</v>
      </c>
      <c r="H8" s="9" t="s">
        <v>445</v>
      </c>
      <c r="I8" s="11" t="s">
        <v>48</v>
      </c>
      <c r="J8" s="11"/>
      <c r="K8" s="9" t="s">
        <v>446</v>
      </c>
      <c r="L8" s="11" t="s">
        <v>48</v>
      </c>
      <c r="M8" s="11"/>
      <c r="N8" s="9"/>
    </row>
    <row r="9" customFormat="false" ht="109.5" hidden="false" customHeight="true" outlineLevel="0" collapsed="false">
      <c r="A9" s="9" t="n">
        <v>8</v>
      </c>
      <c r="B9" s="9" t="s">
        <v>477</v>
      </c>
      <c r="C9" s="9" t="n">
        <v>2023</v>
      </c>
      <c r="D9" s="9" t="s">
        <v>55</v>
      </c>
      <c r="E9" s="9" t="s">
        <v>478</v>
      </c>
      <c r="F9" s="9" t="s">
        <v>479</v>
      </c>
      <c r="G9" s="10" t="s">
        <v>480</v>
      </c>
      <c r="H9" s="9" t="s">
        <v>481</v>
      </c>
      <c r="I9" s="11" t="s">
        <v>43</v>
      </c>
      <c r="J9" s="11" t="s">
        <v>451</v>
      </c>
      <c r="K9" s="9" t="s">
        <v>446</v>
      </c>
      <c r="L9" s="11" t="s">
        <v>43</v>
      </c>
      <c r="M9" s="11" t="s">
        <v>482</v>
      </c>
      <c r="N9" s="9" t="s">
        <v>483</v>
      </c>
    </row>
    <row r="10" customFormat="false" ht="109.5" hidden="false" customHeight="true" outlineLevel="0" collapsed="false">
      <c r="A10" s="9" t="n">
        <v>9</v>
      </c>
      <c r="B10" s="9" t="s">
        <v>383</v>
      </c>
      <c r="C10" s="9" t="n">
        <v>2025</v>
      </c>
      <c r="D10" s="9" t="s">
        <v>55</v>
      </c>
      <c r="E10" s="9" t="s">
        <v>384</v>
      </c>
      <c r="F10" s="9" t="s">
        <v>385</v>
      </c>
      <c r="G10" s="10" t="s">
        <v>386</v>
      </c>
      <c r="H10" s="9" t="s">
        <v>445</v>
      </c>
      <c r="I10" s="11" t="s">
        <v>48</v>
      </c>
      <c r="J10" s="11"/>
      <c r="K10" s="9" t="s">
        <v>446</v>
      </c>
      <c r="L10" s="11" t="s">
        <v>43</v>
      </c>
      <c r="M10" s="11" t="s">
        <v>461</v>
      </c>
      <c r="N10" s="9"/>
    </row>
    <row r="11" customFormat="false" ht="109.5" hidden="false" customHeight="true" outlineLevel="0" collapsed="false">
      <c r="A11" s="9" t="n">
        <v>10</v>
      </c>
      <c r="B11" s="9" t="s">
        <v>174</v>
      </c>
      <c r="C11" s="9" t="n">
        <v>2026</v>
      </c>
      <c r="D11" s="9" t="s">
        <v>55</v>
      </c>
      <c r="E11" s="9" t="s">
        <v>175</v>
      </c>
      <c r="F11" s="9" t="s">
        <v>176</v>
      </c>
      <c r="G11" s="10" t="s">
        <v>177</v>
      </c>
      <c r="H11" s="9" t="s">
        <v>445</v>
      </c>
      <c r="I11" s="11" t="s">
        <v>48</v>
      </c>
      <c r="J11" s="11"/>
      <c r="K11" s="9" t="s">
        <v>446</v>
      </c>
      <c r="L11" s="11" t="s">
        <v>48</v>
      </c>
      <c r="M11" s="11"/>
      <c r="N11" s="9"/>
    </row>
    <row r="12" customFormat="false" ht="109.5" hidden="false" customHeight="true" outlineLevel="0" collapsed="false">
      <c r="A12" s="9" t="n">
        <v>11</v>
      </c>
      <c r="B12" s="9" t="s">
        <v>170</v>
      </c>
      <c r="C12" s="9" t="n">
        <v>2026</v>
      </c>
      <c r="D12" s="9" t="s">
        <v>55</v>
      </c>
      <c r="E12" s="9" t="s">
        <v>171</v>
      </c>
      <c r="F12" s="9" t="s">
        <v>172</v>
      </c>
      <c r="G12" s="10" t="s">
        <v>173</v>
      </c>
      <c r="H12" s="9" t="s">
        <v>445</v>
      </c>
      <c r="I12" s="11" t="s">
        <v>48</v>
      </c>
      <c r="J12" s="11"/>
      <c r="K12" s="9" t="s">
        <v>446</v>
      </c>
      <c r="L12" s="11" t="s">
        <v>48</v>
      </c>
      <c r="M12" s="11"/>
      <c r="N12" s="9"/>
    </row>
    <row r="13" customFormat="false" ht="109.5" hidden="false" customHeight="true" outlineLevel="0" collapsed="false">
      <c r="A13" s="9" t="n">
        <v>12</v>
      </c>
      <c r="B13" s="9" t="s">
        <v>484</v>
      </c>
      <c r="C13" s="9" t="n">
        <v>2025</v>
      </c>
      <c r="D13" s="9" t="s">
        <v>50</v>
      </c>
      <c r="E13" s="9" t="s">
        <v>485</v>
      </c>
      <c r="F13" s="9"/>
      <c r="G13" s="10" t="s">
        <v>486</v>
      </c>
      <c r="H13" s="9" t="s">
        <v>445</v>
      </c>
      <c r="I13" s="11" t="s">
        <v>43</v>
      </c>
      <c r="J13" s="11" t="s">
        <v>466</v>
      </c>
      <c r="K13" s="9" t="s">
        <v>487</v>
      </c>
      <c r="L13" s="11" t="s">
        <v>43</v>
      </c>
      <c r="M13" s="11" t="s">
        <v>446</v>
      </c>
      <c r="N13" s="9" t="s">
        <v>488</v>
      </c>
    </row>
    <row r="14" customFormat="false" ht="109.5" hidden="false" customHeight="true" outlineLevel="0" collapsed="false">
      <c r="A14" s="9" t="n">
        <v>13</v>
      </c>
      <c r="B14" s="9" t="s">
        <v>489</v>
      </c>
      <c r="C14" s="9" t="n">
        <v>2026</v>
      </c>
      <c r="D14" s="9" t="s">
        <v>39</v>
      </c>
      <c r="E14" s="9" t="s">
        <v>490</v>
      </c>
      <c r="F14" s="9" t="s">
        <v>491</v>
      </c>
      <c r="G14" s="10" t="s">
        <v>492</v>
      </c>
      <c r="H14" s="9" t="s">
        <v>481</v>
      </c>
      <c r="I14" s="11" t="s">
        <v>48</v>
      </c>
      <c r="J14" s="11"/>
      <c r="K14" s="9" t="s">
        <v>493</v>
      </c>
      <c r="L14" s="11" t="s">
        <v>48</v>
      </c>
      <c r="M14" s="11"/>
      <c r="N14" s="9"/>
    </row>
    <row r="15" customFormat="false" ht="109.5" hidden="false" customHeight="true" outlineLevel="0" collapsed="false">
      <c r="A15" s="9" t="n">
        <v>14</v>
      </c>
      <c r="B15" s="9" t="s">
        <v>494</v>
      </c>
      <c r="C15" s="9" t="n">
        <v>2025</v>
      </c>
      <c r="D15" s="9" t="s">
        <v>39</v>
      </c>
      <c r="E15" s="9" t="s">
        <v>495</v>
      </c>
      <c r="F15" s="9" t="s">
        <v>496</v>
      </c>
      <c r="G15" s="10" t="s">
        <v>497</v>
      </c>
      <c r="H15" s="9" t="s">
        <v>445</v>
      </c>
      <c r="I15" s="11" t="s">
        <v>48</v>
      </c>
      <c r="J15" s="11"/>
      <c r="K15" s="9" t="s">
        <v>446</v>
      </c>
      <c r="L15" s="11" t="s">
        <v>48</v>
      </c>
      <c r="M15" s="11"/>
      <c r="N15" s="9"/>
    </row>
    <row r="16" customFormat="false" ht="109.5" hidden="false" customHeight="true" outlineLevel="0" collapsed="false">
      <c r="A16" s="9" t="n">
        <v>15</v>
      </c>
      <c r="B16" s="9" t="s">
        <v>498</v>
      </c>
      <c r="C16" s="9" t="n">
        <v>2026</v>
      </c>
      <c r="D16" s="9" t="s">
        <v>39</v>
      </c>
      <c r="E16" s="9" t="s">
        <v>499</v>
      </c>
      <c r="F16" s="9" t="s">
        <v>500</v>
      </c>
      <c r="G16" s="10" t="s">
        <v>501</v>
      </c>
      <c r="H16" s="9" t="s">
        <v>481</v>
      </c>
      <c r="I16" s="11" t="s">
        <v>48</v>
      </c>
      <c r="J16" s="11"/>
      <c r="K16" s="9" t="s">
        <v>446</v>
      </c>
      <c r="L16" s="11" t="s">
        <v>48</v>
      </c>
      <c r="M16" s="11"/>
      <c r="N16" s="9" t="s">
        <v>502</v>
      </c>
    </row>
    <row r="17" customFormat="false" ht="109.5" hidden="false" customHeight="true" outlineLevel="0" collapsed="false">
      <c r="A17" s="9" t="n">
        <v>16</v>
      </c>
      <c r="B17" s="9" t="s">
        <v>503</v>
      </c>
      <c r="C17" s="9" t="n">
        <v>2007</v>
      </c>
      <c r="D17" s="9" t="s">
        <v>39</v>
      </c>
      <c r="E17" s="9" t="s">
        <v>504</v>
      </c>
      <c r="F17" s="9" t="s">
        <v>505</v>
      </c>
      <c r="G17" s="10" t="s">
        <v>506</v>
      </c>
      <c r="H17" s="9" t="s">
        <v>451</v>
      </c>
      <c r="I17" s="11" t="s">
        <v>43</v>
      </c>
      <c r="J17" s="11" t="s">
        <v>445</v>
      </c>
      <c r="K17" s="9" t="s">
        <v>507</v>
      </c>
      <c r="L17" s="11" t="s">
        <v>48</v>
      </c>
      <c r="M17" s="11"/>
      <c r="N17" s="9"/>
    </row>
    <row r="18" customFormat="false" ht="109.5" hidden="false" customHeight="true" outlineLevel="0" collapsed="false">
      <c r="A18" s="9" t="n">
        <v>17</v>
      </c>
      <c r="B18" s="9" t="s">
        <v>508</v>
      </c>
      <c r="C18" s="9" t="n">
        <v>2025</v>
      </c>
      <c r="D18" s="9" t="s">
        <v>50</v>
      </c>
      <c r="E18" s="9" t="s">
        <v>509</v>
      </c>
      <c r="F18" s="9"/>
      <c r="G18" s="10" t="s">
        <v>510</v>
      </c>
      <c r="H18" s="9" t="s">
        <v>451</v>
      </c>
      <c r="I18" s="11" t="s">
        <v>48</v>
      </c>
      <c r="J18" s="11"/>
      <c r="K18" s="9" t="s">
        <v>446</v>
      </c>
      <c r="L18" s="11" t="s">
        <v>48</v>
      </c>
      <c r="M18" s="11"/>
      <c r="N18" s="9"/>
    </row>
    <row r="19" customFormat="false" ht="109.5" hidden="false" customHeight="true" outlineLevel="0" collapsed="false">
      <c r="A19" s="9" t="n">
        <v>18</v>
      </c>
      <c r="B19" s="9" t="s">
        <v>511</v>
      </c>
      <c r="C19" s="9" t="n">
        <v>2023</v>
      </c>
      <c r="D19" s="9" t="s">
        <v>39</v>
      </c>
      <c r="E19" s="9" t="s">
        <v>512</v>
      </c>
      <c r="F19" s="9" t="s">
        <v>513</v>
      </c>
      <c r="G19" s="10" t="s">
        <v>514</v>
      </c>
      <c r="H19" s="9" t="s">
        <v>445</v>
      </c>
      <c r="I19" s="11" t="s">
        <v>48</v>
      </c>
      <c r="J19" s="11"/>
      <c r="K19" s="9" t="s">
        <v>446</v>
      </c>
      <c r="L19" s="11" t="s">
        <v>48</v>
      </c>
      <c r="M19" s="11"/>
      <c r="N19" s="9" t="s">
        <v>515</v>
      </c>
    </row>
    <row r="20" customFormat="false" ht="109.5" hidden="false" customHeight="true" outlineLevel="0" collapsed="false">
      <c r="A20" s="9" t="n">
        <v>19</v>
      </c>
      <c r="B20" s="9" t="s">
        <v>516</v>
      </c>
      <c r="C20" s="9" t="n">
        <v>2026</v>
      </c>
      <c r="D20" s="9" t="s">
        <v>39</v>
      </c>
      <c r="E20" s="9" t="s">
        <v>517</v>
      </c>
      <c r="F20" s="9" t="s">
        <v>518</v>
      </c>
      <c r="G20" s="10" t="s">
        <v>519</v>
      </c>
      <c r="H20" s="9" t="s">
        <v>445</v>
      </c>
      <c r="I20" s="11" t="s">
        <v>48</v>
      </c>
      <c r="J20" s="11"/>
      <c r="K20" s="9" t="s">
        <v>487</v>
      </c>
      <c r="L20" s="11" t="s">
        <v>48</v>
      </c>
      <c r="M20" s="11"/>
      <c r="N20" s="9"/>
    </row>
    <row r="21" customFormat="false" ht="109.5" hidden="false" customHeight="true" outlineLevel="0" collapsed="false">
      <c r="A21" s="9" t="n">
        <v>20</v>
      </c>
      <c r="B21" s="9" t="s">
        <v>520</v>
      </c>
      <c r="C21" s="9" t="n">
        <v>2021</v>
      </c>
      <c r="D21" s="9" t="s">
        <v>39</v>
      </c>
      <c r="E21" s="9" t="s">
        <v>521</v>
      </c>
      <c r="F21" s="9" t="s">
        <v>522</v>
      </c>
      <c r="G21" s="10" t="s">
        <v>523</v>
      </c>
      <c r="H21" s="9" t="s">
        <v>481</v>
      </c>
      <c r="I21" s="11" t="s">
        <v>48</v>
      </c>
      <c r="J21" s="11"/>
      <c r="K21" s="9" t="s">
        <v>446</v>
      </c>
      <c r="L21" s="11" t="s">
        <v>48</v>
      </c>
      <c r="M21" s="11"/>
      <c r="N21" s="9"/>
    </row>
    <row r="22" customFormat="false" ht="109.5" hidden="false" customHeight="true" outlineLevel="0" collapsed="false">
      <c r="A22" s="9" t="n">
        <v>21</v>
      </c>
      <c r="B22" s="9" t="s">
        <v>524</v>
      </c>
      <c r="C22" s="9" t="n">
        <v>2026</v>
      </c>
      <c r="D22" s="9" t="s">
        <v>39</v>
      </c>
      <c r="E22" s="9" t="s">
        <v>525</v>
      </c>
      <c r="F22" s="9" t="s">
        <v>526</v>
      </c>
      <c r="G22" s="10" t="s">
        <v>527</v>
      </c>
      <c r="H22" s="9" t="s">
        <v>445</v>
      </c>
      <c r="I22" s="11" t="s">
        <v>48</v>
      </c>
      <c r="J22" s="11"/>
      <c r="K22" s="9" t="s">
        <v>487</v>
      </c>
      <c r="L22" s="11" t="s">
        <v>48</v>
      </c>
      <c r="M22" s="11"/>
      <c r="N22" s="9"/>
    </row>
    <row r="23" customFormat="false" ht="109.5" hidden="false" customHeight="true" outlineLevel="0" collapsed="false">
      <c r="A23" s="9" t="n">
        <v>22</v>
      </c>
      <c r="B23" s="9" t="s">
        <v>528</v>
      </c>
      <c r="C23" s="9" t="n">
        <v>2010</v>
      </c>
      <c r="D23" s="9" t="s">
        <v>50</v>
      </c>
      <c r="E23" s="9" t="s">
        <v>529</v>
      </c>
      <c r="F23" s="9"/>
      <c r="G23" s="10" t="s">
        <v>530</v>
      </c>
      <c r="H23" s="9" t="s">
        <v>466</v>
      </c>
      <c r="I23" s="11" t="s">
        <v>43</v>
      </c>
      <c r="J23" s="11" t="s">
        <v>445</v>
      </c>
      <c r="K23" s="9" t="s">
        <v>461</v>
      </c>
      <c r="L23" s="11" t="s">
        <v>48</v>
      </c>
      <c r="M23" s="11"/>
      <c r="N23" s="9"/>
    </row>
    <row r="24" customFormat="false" ht="109.5" hidden="false" customHeight="true" outlineLevel="0" collapsed="false">
      <c r="A24" s="9" t="n">
        <v>23</v>
      </c>
      <c r="B24" s="9" t="s">
        <v>531</v>
      </c>
      <c r="C24" s="9" t="n">
        <v>2025</v>
      </c>
      <c r="D24" s="9" t="s">
        <v>39</v>
      </c>
      <c r="E24" s="9" t="s">
        <v>532</v>
      </c>
      <c r="F24" s="9" t="s">
        <v>533</v>
      </c>
      <c r="G24" s="10" t="s">
        <v>534</v>
      </c>
      <c r="H24" s="9" t="s">
        <v>445</v>
      </c>
      <c r="I24" s="11" t="s">
        <v>43</v>
      </c>
      <c r="J24" s="11" t="s">
        <v>466</v>
      </c>
      <c r="K24" s="9" t="s">
        <v>446</v>
      </c>
      <c r="L24" s="11" t="s">
        <v>48</v>
      </c>
      <c r="M24" s="11"/>
      <c r="N24" s="9"/>
    </row>
    <row r="25" customFormat="false" ht="109.5" hidden="false" customHeight="true" outlineLevel="0" collapsed="false">
      <c r="A25" s="9" t="n">
        <v>24</v>
      </c>
      <c r="B25" s="9" t="s">
        <v>535</v>
      </c>
      <c r="C25" s="9" t="n">
        <v>2025</v>
      </c>
      <c r="D25" s="9" t="s">
        <v>39</v>
      </c>
      <c r="E25" s="9" t="s">
        <v>536</v>
      </c>
      <c r="F25" s="9" t="s">
        <v>537</v>
      </c>
      <c r="G25" s="10" t="s">
        <v>538</v>
      </c>
      <c r="H25" s="9" t="s">
        <v>445</v>
      </c>
      <c r="I25" s="11" t="s">
        <v>48</v>
      </c>
      <c r="J25" s="11"/>
      <c r="K25" s="9" t="s">
        <v>446</v>
      </c>
      <c r="L25" s="11" t="s">
        <v>48</v>
      </c>
      <c r="M25" s="11"/>
      <c r="N25" s="9" t="s">
        <v>539</v>
      </c>
    </row>
    <row r="26" customFormat="false" ht="109.5" hidden="false" customHeight="true" outlineLevel="0" collapsed="false">
      <c r="A26" s="9" t="n">
        <v>25</v>
      </c>
      <c r="B26" s="9" t="s">
        <v>540</v>
      </c>
      <c r="C26" s="9" t="n">
        <v>2025</v>
      </c>
      <c r="D26" s="9" t="s">
        <v>55</v>
      </c>
      <c r="E26" s="9" t="s">
        <v>541</v>
      </c>
      <c r="F26" s="9"/>
      <c r="G26" s="10" t="s">
        <v>542</v>
      </c>
      <c r="H26" s="9" t="s">
        <v>445</v>
      </c>
      <c r="I26" s="11" t="s">
        <v>48</v>
      </c>
      <c r="J26" s="11"/>
      <c r="K26" s="9" t="s">
        <v>507</v>
      </c>
      <c r="L26" s="11" t="s">
        <v>48</v>
      </c>
      <c r="M26" s="11"/>
      <c r="N26" s="9"/>
    </row>
    <row r="27" customFormat="false" ht="109.5" hidden="false" customHeight="true" outlineLevel="0" collapsed="false">
      <c r="A27" s="9" t="n">
        <v>26</v>
      </c>
      <c r="B27" s="9" t="s">
        <v>543</v>
      </c>
      <c r="C27" s="9" t="n">
        <v>2026</v>
      </c>
      <c r="D27" s="9" t="s">
        <v>39</v>
      </c>
      <c r="E27" s="9" t="s">
        <v>544</v>
      </c>
      <c r="F27" s="9" t="s">
        <v>545</v>
      </c>
      <c r="G27" s="10" t="s">
        <v>546</v>
      </c>
      <c r="H27" s="9" t="s">
        <v>445</v>
      </c>
      <c r="I27" s="11" t="s">
        <v>43</v>
      </c>
      <c r="J27" s="11" t="s">
        <v>451</v>
      </c>
      <c r="K27" s="9" t="s">
        <v>446</v>
      </c>
      <c r="L27" s="11" t="s">
        <v>48</v>
      </c>
      <c r="M27" s="11"/>
      <c r="N27" s="9"/>
    </row>
    <row r="28" customFormat="false" ht="109.5" hidden="false" customHeight="true" outlineLevel="0" collapsed="false">
      <c r="A28" s="9" t="n">
        <v>27</v>
      </c>
      <c r="B28" s="9" t="s">
        <v>547</v>
      </c>
      <c r="C28" s="9" t="n">
        <v>2017</v>
      </c>
      <c r="D28" s="9" t="s">
        <v>39</v>
      </c>
      <c r="E28" s="9" t="s">
        <v>548</v>
      </c>
      <c r="F28" s="9" t="s">
        <v>549</v>
      </c>
      <c r="G28" s="10" t="s">
        <v>550</v>
      </c>
      <c r="H28" s="9" t="s">
        <v>481</v>
      </c>
      <c r="I28" s="11" t="s">
        <v>43</v>
      </c>
      <c r="J28" s="11" t="s">
        <v>445</v>
      </c>
      <c r="K28" s="9" t="s">
        <v>461</v>
      </c>
      <c r="L28" s="11" t="s">
        <v>48</v>
      </c>
      <c r="M28" s="11"/>
      <c r="N28" s="9" t="s">
        <v>551</v>
      </c>
    </row>
    <row r="29" customFormat="false" ht="109.5" hidden="false" customHeight="true" outlineLevel="0" collapsed="false">
      <c r="A29" s="9" t="n">
        <v>28</v>
      </c>
      <c r="B29" s="9" t="s">
        <v>552</v>
      </c>
      <c r="C29" s="9" t="n">
        <v>2026</v>
      </c>
      <c r="D29" s="9" t="s">
        <v>39</v>
      </c>
      <c r="E29" s="9" t="s">
        <v>553</v>
      </c>
      <c r="F29" s="9"/>
      <c r="G29" s="10" t="s">
        <v>554</v>
      </c>
      <c r="H29" s="9" t="s">
        <v>445</v>
      </c>
      <c r="I29" s="11" t="s">
        <v>48</v>
      </c>
      <c r="J29" s="11"/>
      <c r="K29" s="9" t="s">
        <v>446</v>
      </c>
      <c r="L29" s="11" t="s">
        <v>48</v>
      </c>
      <c r="M29" s="11"/>
      <c r="N29" s="9"/>
    </row>
    <row r="30" customFormat="false" ht="109.5" hidden="false" customHeight="true" outlineLevel="0" collapsed="false">
      <c r="A30" s="9" t="n">
        <v>29</v>
      </c>
      <c r="B30" s="9" t="s">
        <v>555</v>
      </c>
      <c r="C30" s="9" t="n">
        <v>2021</v>
      </c>
      <c r="D30" s="9" t="s">
        <v>39</v>
      </c>
      <c r="E30" s="9" t="s">
        <v>556</v>
      </c>
      <c r="F30" s="9" t="s">
        <v>557</v>
      </c>
      <c r="G30" s="10" t="s">
        <v>558</v>
      </c>
      <c r="H30" s="9" t="s">
        <v>445</v>
      </c>
      <c r="I30" s="11" t="s">
        <v>48</v>
      </c>
      <c r="J30" s="11"/>
      <c r="K30" s="9" t="s">
        <v>559</v>
      </c>
      <c r="L30" s="11" t="s">
        <v>48</v>
      </c>
      <c r="M30" s="11"/>
      <c r="N30" s="9"/>
    </row>
    <row r="31" customFormat="false" ht="109.5" hidden="false" customHeight="true" outlineLevel="0" collapsed="false">
      <c r="A31" s="9" t="n">
        <v>30</v>
      </c>
      <c r="B31" s="9" t="s">
        <v>560</v>
      </c>
      <c r="C31" s="9" t="n">
        <v>2025</v>
      </c>
      <c r="D31" s="9" t="s">
        <v>39</v>
      </c>
      <c r="E31" s="9" t="s">
        <v>561</v>
      </c>
      <c r="F31" s="9" t="s">
        <v>562</v>
      </c>
      <c r="G31" s="10" t="s">
        <v>563</v>
      </c>
      <c r="H31" s="9" t="s">
        <v>466</v>
      </c>
      <c r="I31" s="11" t="s">
        <v>48</v>
      </c>
      <c r="J31" s="11"/>
      <c r="K31" s="9" t="s">
        <v>446</v>
      </c>
      <c r="L31" s="11" t="s">
        <v>48</v>
      </c>
      <c r="M31" s="11"/>
      <c r="N31" s="9" t="s">
        <v>564</v>
      </c>
    </row>
    <row r="32" customFormat="false" ht="109.5" hidden="false" customHeight="true" outlineLevel="0" collapsed="false">
      <c r="A32" s="9" t="n">
        <v>31</v>
      </c>
      <c r="B32" s="9" t="s">
        <v>565</v>
      </c>
      <c r="C32" s="9" t="n">
        <v>2026</v>
      </c>
      <c r="D32" s="9" t="s">
        <v>39</v>
      </c>
      <c r="E32" s="9" t="s">
        <v>566</v>
      </c>
      <c r="F32" s="9" t="s">
        <v>567</v>
      </c>
      <c r="G32" s="10" t="s">
        <v>568</v>
      </c>
      <c r="H32" s="9" t="s">
        <v>445</v>
      </c>
      <c r="I32" s="11" t="s">
        <v>48</v>
      </c>
      <c r="J32" s="11"/>
      <c r="K32" s="9" t="s">
        <v>446</v>
      </c>
      <c r="L32" s="11" t="s">
        <v>48</v>
      </c>
      <c r="M32" s="11"/>
      <c r="N32" s="9" t="s">
        <v>569</v>
      </c>
    </row>
    <row r="33" customFormat="false" ht="109.5" hidden="false" customHeight="true" outlineLevel="0" collapsed="false">
      <c r="A33" s="9" t="n">
        <v>32</v>
      </c>
      <c r="B33" s="9" t="s">
        <v>570</v>
      </c>
      <c r="C33" s="9" t="n">
        <v>2018</v>
      </c>
      <c r="D33" s="9" t="s">
        <v>39</v>
      </c>
      <c r="E33" s="9" t="s">
        <v>571</v>
      </c>
      <c r="F33" s="9" t="s">
        <v>572</v>
      </c>
      <c r="G33" s="10" t="s">
        <v>573</v>
      </c>
      <c r="H33" s="9" t="s">
        <v>451</v>
      </c>
      <c r="I33" s="11" t="s">
        <v>48</v>
      </c>
      <c r="J33" s="11"/>
      <c r="K33" s="9" t="s">
        <v>467</v>
      </c>
      <c r="L33" s="11" t="s">
        <v>48</v>
      </c>
      <c r="M33" s="11"/>
      <c r="N33" s="9"/>
    </row>
    <row r="34" customFormat="false" ht="109.5" hidden="false" customHeight="true" outlineLevel="0" collapsed="false">
      <c r="A34" s="9" t="n">
        <v>33</v>
      </c>
      <c r="B34" s="9" t="s">
        <v>574</v>
      </c>
      <c r="C34" s="9" t="n">
        <v>2026</v>
      </c>
      <c r="D34" s="9" t="s">
        <v>39</v>
      </c>
      <c r="E34" s="9" t="s">
        <v>575</v>
      </c>
      <c r="F34" s="9" t="s">
        <v>576</v>
      </c>
      <c r="G34" s="10" t="s">
        <v>577</v>
      </c>
      <c r="H34" s="9" t="s">
        <v>445</v>
      </c>
      <c r="I34" s="11" t="s">
        <v>48</v>
      </c>
      <c r="J34" s="11"/>
      <c r="K34" s="9" t="s">
        <v>446</v>
      </c>
      <c r="L34" s="11" t="s">
        <v>48</v>
      </c>
      <c r="M34" s="11"/>
      <c r="N34" s="9" t="s">
        <v>578</v>
      </c>
    </row>
    <row r="35" customFormat="false" ht="109.5" hidden="false" customHeight="true" outlineLevel="0" collapsed="false">
      <c r="A35" s="9" t="n">
        <v>34</v>
      </c>
      <c r="B35" s="9" t="s">
        <v>579</v>
      </c>
      <c r="C35" s="9" t="n">
        <v>2022</v>
      </c>
      <c r="D35" s="9" t="s">
        <v>39</v>
      </c>
      <c r="E35" s="9" t="s">
        <v>580</v>
      </c>
      <c r="F35" s="9" t="s">
        <v>581</v>
      </c>
      <c r="G35" s="10" t="s">
        <v>582</v>
      </c>
      <c r="H35" s="9" t="s">
        <v>451</v>
      </c>
      <c r="I35" s="11" t="s">
        <v>48</v>
      </c>
      <c r="J35" s="11"/>
      <c r="K35" s="9" t="s">
        <v>446</v>
      </c>
      <c r="L35" s="11" t="s">
        <v>48</v>
      </c>
      <c r="M35" s="11"/>
      <c r="N35" s="9"/>
    </row>
    <row r="36" customFormat="false" ht="109.5" hidden="false" customHeight="true" outlineLevel="0" collapsed="false">
      <c r="A36" s="9" t="n">
        <v>35</v>
      </c>
      <c r="B36" s="9" t="s">
        <v>101</v>
      </c>
      <c r="C36" s="9" t="n">
        <v>2026</v>
      </c>
      <c r="D36" s="9" t="s">
        <v>39</v>
      </c>
      <c r="E36" s="9" t="s">
        <v>102</v>
      </c>
      <c r="F36" s="9" t="s">
        <v>103</v>
      </c>
      <c r="G36" s="10" t="s">
        <v>104</v>
      </c>
      <c r="H36" s="9" t="s">
        <v>466</v>
      </c>
      <c r="I36" s="11" t="s">
        <v>48</v>
      </c>
      <c r="J36" s="11"/>
      <c r="K36" s="9" t="s">
        <v>507</v>
      </c>
      <c r="L36" s="11" t="s">
        <v>48</v>
      </c>
      <c r="M36" s="11"/>
      <c r="N36" s="9"/>
    </row>
    <row r="37" customFormat="false" ht="109.5" hidden="false" customHeight="true" outlineLevel="0" collapsed="false">
      <c r="A37" s="9" t="n">
        <v>36</v>
      </c>
      <c r="B37" s="9" t="s">
        <v>583</v>
      </c>
      <c r="C37" s="9" t="n">
        <v>2023</v>
      </c>
      <c r="D37" s="9" t="s">
        <v>55</v>
      </c>
      <c r="E37" s="9" t="s">
        <v>584</v>
      </c>
      <c r="F37" s="9" t="s">
        <v>585</v>
      </c>
      <c r="G37" s="10" t="s">
        <v>586</v>
      </c>
      <c r="H37" s="9" t="s">
        <v>445</v>
      </c>
      <c r="I37" s="11" t="s">
        <v>48</v>
      </c>
      <c r="J37" s="11"/>
      <c r="K37" s="9" t="s">
        <v>446</v>
      </c>
      <c r="L37" s="11" t="s">
        <v>48</v>
      </c>
      <c r="M37" s="11"/>
      <c r="N37" s="9"/>
    </row>
    <row r="38" customFormat="false" ht="109.5" hidden="false" customHeight="true" outlineLevel="0" collapsed="false">
      <c r="A38" s="9" t="n">
        <v>37</v>
      </c>
      <c r="B38" s="9" t="s">
        <v>587</v>
      </c>
      <c r="C38" s="9" t="n">
        <v>2025</v>
      </c>
      <c r="D38" s="9" t="s">
        <v>39</v>
      </c>
      <c r="E38" s="9" t="s">
        <v>588</v>
      </c>
      <c r="F38" s="9" t="s">
        <v>589</v>
      </c>
      <c r="G38" s="10" t="s">
        <v>590</v>
      </c>
      <c r="H38" s="9" t="s">
        <v>445</v>
      </c>
      <c r="I38" s="11" t="s">
        <v>43</v>
      </c>
      <c r="J38" s="11" t="s">
        <v>451</v>
      </c>
      <c r="K38" s="9" t="s">
        <v>446</v>
      </c>
      <c r="L38" s="11" t="s">
        <v>48</v>
      </c>
      <c r="M38" s="11"/>
      <c r="N38" s="9"/>
    </row>
    <row r="39" customFormat="false" ht="109.5" hidden="false" customHeight="true" outlineLevel="0" collapsed="false">
      <c r="A39" s="9" t="n">
        <v>38</v>
      </c>
      <c r="B39" s="9" t="s">
        <v>591</v>
      </c>
      <c r="C39" s="9" t="n">
        <v>2023</v>
      </c>
      <c r="D39" s="9" t="s">
        <v>39</v>
      </c>
      <c r="E39" s="9" t="s">
        <v>592</v>
      </c>
      <c r="F39" s="9" t="s">
        <v>593</v>
      </c>
      <c r="G39" s="10" t="s">
        <v>594</v>
      </c>
      <c r="H39" s="9" t="s">
        <v>466</v>
      </c>
      <c r="I39" s="11" t="s">
        <v>48</v>
      </c>
      <c r="J39" s="11"/>
      <c r="K39" s="9" t="s">
        <v>446</v>
      </c>
      <c r="L39" s="11" t="s">
        <v>48</v>
      </c>
      <c r="M39" s="11"/>
      <c r="N39" s="9"/>
    </row>
    <row r="40" customFormat="false" ht="109.5" hidden="false" customHeight="true" outlineLevel="0" collapsed="false">
      <c r="A40" s="9" t="n">
        <v>39</v>
      </c>
      <c r="B40" s="9" t="s">
        <v>595</v>
      </c>
      <c r="C40" s="9" t="n">
        <v>2026</v>
      </c>
      <c r="D40" s="9" t="s">
        <v>39</v>
      </c>
      <c r="E40" s="9" t="s">
        <v>596</v>
      </c>
      <c r="F40" s="9" t="s">
        <v>597</v>
      </c>
      <c r="G40" s="10" t="s">
        <v>598</v>
      </c>
      <c r="H40" s="9" t="s">
        <v>451</v>
      </c>
      <c r="I40" s="11" t="s">
        <v>43</v>
      </c>
      <c r="J40" s="11" t="s">
        <v>445</v>
      </c>
      <c r="K40" s="9" t="s">
        <v>559</v>
      </c>
      <c r="L40" s="11" t="s">
        <v>48</v>
      </c>
      <c r="M40" s="11"/>
      <c r="N40" s="9"/>
    </row>
    <row r="41" customFormat="false" ht="109.5" hidden="false" customHeight="true" outlineLevel="0" collapsed="false">
      <c r="A41" s="9" t="n">
        <v>40</v>
      </c>
      <c r="B41" s="9" t="s">
        <v>599</v>
      </c>
      <c r="C41" s="9" t="n">
        <v>2024</v>
      </c>
      <c r="D41" s="9" t="s">
        <v>55</v>
      </c>
      <c r="E41" s="9" t="s">
        <v>600</v>
      </c>
      <c r="F41" s="9" t="s">
        <v>601</v>
      </c>
      <c r="G41" s="10" t="s">
        <v>602</v>
      </c>
      <c r="H41" s="9" t="s">
        <v>445</v>
      </c>
      <c r="I41" s="11" t="s">
        <v>48</v>
      </c>
      <c r="J41" s="11"/>
      <c r="K41" s="9" t="s">
        <v>461</v>
      </c>
      <c r="L41" s="11" t="s">
        <v>48</v>
      </c>
      <c r="M41" s="11"/>
      <c r="N41" s="9"/>
    </row>
    <row r="42" customFormat="false" ht="109.5" hidden="false" customHeight="true" outlineLevel="0" collapsed="false">
      <c r="A42" s="9" t="n">
        <v>41</v>
      </c>
      <c r="B42" s="9" t="s">
        <v>335</v>
      </c>
      <c r="C42" s="9" t="n">
        <v>2004</v>
      </c>
      <c r="D42" s="9" t="s">
        <v>39</v>
      </c>
      <c r="E42" s="9" t="s">
        <v>336</v>
      </c>
      <c r="F42" s="9" t="s">
        <v>337</v>
      </c>
      <c r="G42" s="10" t="s">
        <v>338</v>
      </c>
      <c r="H42" s="9" t="s">
        <v>466</v>
      </c>
      <c r="I42" s="11" t="s">
        <v>48</v>
      </c>
      <c r="J42" s="11"/>
      <c r="K42" s="9" t="s">
        <v>487</v>
      </c>
      <c r="L42" s="11" t="s">
        <v>48</v>
      </c>
      <c r="M42" s="11"/>
      <c r="N42" s="9" t="s">
        <v>603</v>
      </c>
    </row>
    <row r="43" customFormat="false" ht="109.5" hidden="false" customHeight="true" outlineLevel="0" collapsed="false">
      <c r="A43" s="9" t="n">
        <v>42</v>
      </c>
      <c r="B43" s="9" t="s">
        <v>604</v>
      </c>
      <c r="C43" s="9" t="n">
        <v>2024</v>
      </c>
      <c r="D43" s="9" t="s">
        <v>39</v>
      </c>
      <c r="E43" s="9" t="s">
        <v>605</v>
      </c>
      <c r="F43" s="9" t="s">
        <v>606</v>
      </c>
      <c r="G43" s="10" t="s">
        <v>607</v>
      </c>
      <c r="H43" s="9" t="s">
        <v>451</v>
      </c>
      <c r="I43" s="11" t="s">
        <v>48</v>
      </c>
      <c r="J43" s="11"/>
      <c r="K43" s="9" t="s">
        <v>452</v>
      </c>
      <c r="L43" s="11" t="s">
        <v>48</v>
      </c>
      <c r="M43" s="11"/>
      <c r="N43" s="9"/>
    </row>
    <row r="44" customFormat="false" ht="109.5" hidden="false" customHeight="true" outlineLevel="0" collapsed="false">
      <c r="A44" s="9" t="n">
        <v>43</v>
      </c>
      <c r="B44" s="9" t="s">
        <v>608</v>
      </c>
      <c r="C44" s="9" t="n">
        <v>2025</v>
      </c>
      <c r="D44" s="9" t="s">
        <v>55</v>
      </c>
      <c r="E44" s="9" t="s">
        <v>609</v>
      </c>
      <c r="F44" s="9" t="s">
        <v>610</v>
      </c>
      <c r="G44" s="10" t="s">
        <v>611</v>
      </c>
      <c r="H44" s="9" t="s">
        <v>445</v>
      </c>
      <c r="I44" s="11" t="s">
        <v>48</v>
      </c>
      <c r="J44" s="11"/>
      <c r="K44" s="9" t="s">
        <v>446</v>
      </c>
      <c r="L44" s="11" t="s">
        <v>48</v>
      </c>
      <c r="M44" s="11"/>
      <c r="N44" s="9" t="s">
        <v>612</v>
      </c>
    </row>
    <row r="45" customFormat="false" ht="109.5" hidden="false" customHeight="true" outlineLevel="0" collapsed="false">
      <c r="A45" s="9" t="n">
        <v>44</v>
      </c>
      <c r="B45" s="9" t="s">
        <v>613</v>
      </c>
      <c r="C45" s="9" t="n">
        <v>2025</v>
      </c>
      <c r="D45" s="9" t="s">
        <v>39</v>
      </c>
      <c r="E45" s="9" t="s">
        <v>614</v>
      </c>
      <c r="F45" s="9" t="s">
        <v>615</v>
      </c>
      <c r="G45" s="10" t="s">
        <v>616</v>
      </c>
      <c r="H45" s="9" t="s">
        <v>466</v>
      </c>
      <c r="I45" s="11" t="s">
        <v>48</v>
      </c>
      <c r="J45" s="11"/>
      <c r="K45" s="9" t="s">
        <v>493</v>
      </c>
      <c r="L45" s="11" t="s">
        <v>48</v>
      </c>
      <c r="M45" s="11"/>
      <c r="N45" s="9" t="s">
        <v>617</v>
      </c>
    </row>
    <row r="46" customFormat="false" ht="109.5" hidden="false" customHeight="true" outlineLevel="0" collapsed="false">
      <c r="A46" s="9" t="n">
        <v>45</v>
      </c>
      <c r="B46" s="9" t="s">
        <v>618</v>
      </c>
      <c r="C46" s="9" t="n">
        <v>2026</v>
      </c>
      <c r="D46" s="9" t="s">
        <v>39</v>
      </c>
      <c r="E46" s="9" t="s">
        <v>619</v>
      </c>
      <c r="F46" s="9" t="s">
        <v>620</v>
      </c>
      <c r="G46" s="10" t="s">
        <v>621</v>
      </c>
      <c r="H46" s="9" t="s">
        <v>445</v>
      </c>
      <c r="I46" s="11" t="s">
        <v>48</v>
      </c>
      <c r="J46" s="11"/>
      <c r="K46" s="9" t="s">
        <v>446</v>
      </c>
      <c r="L46" s="11" t="s">
        <v>48</v>
      </c>
      <c r="M46" s="11"/>
      <c r="N46" s="9" t="s">
        <v>622</v>
      </c>
    </row>
    <row r="47" customFormat="false" ht="109.5" hidden="false" customHeight="true" outlineLevel="0" collapsed="false">
      <c r="A47" s="9" t="n">
        <v>46</v>
      </c>
      <c r="B47" s="9" t="s">
        <v>623</v>
      </c>
      <c r="C47" s="9" t="n">
        <v>2026</v>
      </c>
      <c r="D47" s="9" t="s">
        <v>39</v>
      </c>
      <c r="E47" s="9" t="s">
        <v>624</v>
      </c>
      <c r="F47" s="9" t="s">
        <v>625</v>
      </c>
      <c r="G47" s="10" t="s">
        <v>626</v>
      </c>
      <c r="H47" s="9" t="s">
        <v>445</v>
      </c>
      <c r="I47" s="11" t="s">
        <v>48</v>
      </c>
      <c r="J47" s="11"/>
      <c r="K47" s="9" t="s">
        <v>446</v>
      </c>
      <c r="L47" s="11" t="s">
        <v>48</v>
      </c>
      <c r="M47" s="11"/>
      <c r="N47" s="9" t="s">
        <v>627</v>
      </c>
    </row>
    <row r="48" customFormat="false" ht="109.5" hidden="false" customHeight="true" outlineLevel="0" collapsed="false">
      <c r="A48" s="9" t="n">
        <v>47</v>
      </c>
      <c r="B48" s="9" t="s">
        <v>628</v>
      </c>
      <c r="C48" s="9" t="n">
        <v>2026</v>
      </c>
      <c r="D48" s="9" t="s">
        <v>39</v>
      </c>
      <c r="E48" s="9" t="s">
        <v>629</v>
      </c>
      <c r="F48" s="9" t="s">
        <v>630</v>
      </c>
      <c r="G48" s="10" t="s">
        <v>631</v>
      </c>
      <c r="H48" s="9" t="s">
        <v>445</v>
      </c>
      <c r="I48" s="11" t="s">
        <v>48</v>
      </c>
      <c r="J48" s="11"/>
      <c r="K48" s="9" t="s">
        <v>446</v>
      </c>
      <c r="L48" s="11" t="s">
        <v>43</v>
      </c>
      <c r="M48" s="11" t="s">
        <v>487</v>
      </c>
      <c r="N48" s="9" t="s">
        <v>632</v>
      </c>
    </row>
    <row r="49" customFormat="false" ht="109.5" hidden="false" customHeight="true" outlineLevel="0" collapsed="false">
      <c r="A49" s="9" t="n">
        <v>48</v>
      </c>
      <c r="B49" s="9" t="s">
        <v>346</v>
      </c>
      <c r="C49" s="9" t="n">
        <v>2026</v>
      </c>
      <c r="D49" s="9" t="s">
        <v>55</v>
      </c>
      <c r="E49" s="9" t="s">
        <v>347</v>
      </c>
      <c r="F49" s="9" t="s">
        <v>348</v>
      </c>
      <c r="G49" s="10" t="s">
        <v>349</v>
      </c>
      <c r="H49" s="9" t="s">
        <v>451</v>
      </c>
      <c r="I49" s="11" t="s">
        <v>48</v>
      </c>
      <c r="J49" s="11"/>
      <c r="K49" s="9" t="s">
        <v>482</v>
      </c>
      <c r="L49" s="11" t="s">
        <v>48</v>
      </c>
      <c r="M49" s="11"/>
      <c r="N49" s="9" t="s">
        <v>633</v>
      </c>
    </row>
    <row r="50" customFormat="false" ht="109.5" hidden="false" customHeight="true" outlineLevel="0" collapsed="false">
      <c r="A50" s="9" t="n">
        <v>49</v>
      </c>
      <c r="B50" s="9" t="s">
        <v>634</v>
      </c>
      <c r="C50" s="9" t="n">
        <v>2026</v>
      </c>
      <c r="D50" s="9" t="s">
        <v>39</v>
      </c>
      <c r="E50" s="9" t="s">
        <v>635</v>
      </c>
      <c r="F50" s="9" t="s">
        <v>636</v>
      </c>
      <c r="G50" s="10" t="s">
        <v>637</v>
      </c>
      <c r="H50" s="9" t="s">
        <v>445</v>
      </c>
      <c r="I50" s="11" t="s">
        <v>43</v>
      </c>
      <c r="J50" s="11" t="s">
        <v>466</v>
      </c>
      <c r="K50" s="9" t="s">
        <v>446</v>
      </c>
      <c r="L50" s="11" t="s">
        <v>48</v>
      </c>
      <c r="M50" s="11"/>
      <c r="N50" s="9" t="s">
        <v>638</v>
      </c>
    </row>
    <row r="51" customFormat="false" ht="109.5" hidden="false" customHeight="true" outlineLevel="0" collapsed="false">
      <c r="A51" s="9" t="n">
        <v>50</v>
      </c>
      <c r="B51" s="9" t="s">
        <v>639</v>
      </c>
      <c r="C51" s="9" t="n">
        <v>2024</v>
      </c>
      <c r="D51" s="9" t="s">
        <v>50</v>
      </c>
      <c r="E51" s="9" t="s">
        <v>640</v>
      </c>
      <c r="F51" s="9" t="s">
        <v>641</v>
      </c>
      <c r="G51" s="10" t="s">
        <v>642</v>
      </c>
      <c r="H51" s="9" t="s">
        <v>445</v>
      </c>
      <c r="I51" s="11" t="s">
        <v>48</v>
      </c>
      <c r="J51" s="11"/>
      <c r="K51" s="9" t="s">
        <v>446</v>
      </c>
      <c r="L51" s="11" t="s">
        <v>48</v>
      </c>
      <c r="M51" s="11"/>
      <c r="N51" s="9" t="s">
        <v>643</v>
      </c>
    </row>
    <row r="52" customFormat="false" ht="109.5" hidden="false" customHeight="true" outlineLevel="0" collapsed="false">
      <c r="A52" s="9" t="n">
        <v>51</v>
      </c>
      <c r="B52" s="9" t="s">
        <v>644</v>
      </c>
      <c r="C52" s="9" t="n">
        <v>2026</v>
      </c>
      <c r="D52" s="9" t="s">
        <v>55</v>
      </c>
      <c r="E52" s="9" t="s">
        <v>645</v>
      </c>
      <c r="F52" s="9" t="s">
        <v>646</v>
      </c>
      <c r="G52" s="10" t="s">
        <v>647</v>
      </c>
      <c r="H52" s="9" t="s">
        <v>481</v>
      </c>
      <c r="I52" s="11" t="s">
        <v>48</v>
      </c>
      <c r="J52" s="11"/>
      <c r="K52" s="9" t="s">
        <v>446</v>
      </c>
      <c r="L52" s="11" t="s">
        <v>48</v>
      </c>
      <c r="M52" s="11"/>
      <c r="N52" s="9"/>
    </row>
    <row r="53" customFormat="false" ht="109.5" hidden="false" customHeight="true" outlineLevel="0" collapsed="false">
      <c r="A53" s="9" t="n">
        <v>52</v>
      </c>
      <c r="B53" s="9" t="s">
        <v>648</v>
      </c>
      <c r="C53" s="9" t="n">
        <v>2026</v>
      </c>
      <c r="D53" s="9" t="s">
        <v>55</v>
      </c>
      <c r="E53" s="9" t="s">
        <v>649</v>
      </c>
      <c r="F53" s="9" t="s">
        <v>650</v>
      </c>
      <c r="G53" s="10" t="s">
        <v>651</v>
      </c>
      <c r="H53" s="9" t="s">
        <v>451</v>
      </c>
      <c r="I53" s="11" t="s">
        <v>43</v>
      </c>
      <c r="J53" s="11" t="s">
        <v>445</v>
      </c>
      <c r="K53" s="9" t="s">
        <v>487</v>
      </c>
      <c r="L53" s="11" t="s">
        <v>48</v>
      </c>
      <c r="M53" s="11"/>
      <c r="N53" s="9" t="s">
        <v>652</v>
      </c>
    </row>
    <row r="54" customFormat="false" ht="109.5" hidden="false" customHeight="true" outlineLevel="0" collapsed="false">
      <c r="A54" s="9" t="n">
        <v>53</v>
      </c>
      <c r="B54" s="9" t="s">
        <v>653</v>
      </c>
      <c r="C54" s="9" t="n">
        <v>2026</v>
      </c>
      <c r="D54" s="9" t="s">
        <v>39</v>
      </c>
      <c r="E54" s="9" t="s">
        <v>654</v>
      </c>
      <c r="F54" s="9" t="s">
        <v>655</v>
      </c>
      <c r="G54" s="10" t="s">
        <v>656</v>
      </c>
      <c r="H54" s="9" t="s">
        <v>445</v>
      </c>
      <c r="I54" s="11" t="s">
        <v>48</v>
      </c>
      <c r="J54" s="11"/>
      <c r="K54" s="9" t="s">
        <v>461</v>
      </c>
      <c r="L54" s="11" t="s">
        <v>48</v>
      </c>
      <c r="M54" s="11"/>
      <c r="N54" s="9"/>
    </row>
    <row r="55" customFormat="false" ht="109.5" hidden="false" customHeight="true" outlineLevel="0" collapsed="false">
      <c r="A55" s="9" t="n">
        <v>54</v>
      </c>
      <c r="B55" s="9" t="s">
        <v>657</v>
      </c>
      <c r="C55" s="9" t="n">
        <v>2023</v>
      </c>
      <c r="D55" s="9" t="s">
        <v>39</v>
      </c>
      <c r="E55" s="9" t="s">
        <v>658</v>
      </c>
      <c r="F55" s="9" t="s">
        <v>659</v>
      </c>
      <c r="G55" s="10" t="s">
        <v>660</v>
      </c>
      <c r="H55" s="9" t="s">
        <v>466</v>
      </c>
      <c r="I55" s="11" t="s">
        <v>48</v>
      </c>
      <c r="J55" s="11"/>
      <c r="K55" s="9" t="s">
        <v>493</v>
      </c>
      <c r="L55" s="11" t="s">
        <v>48</v>
      </c>
      <c r="M55" s="11"/>
      <c r="N55" s="9"/>
    </row>
    <row r="56" customFormat="false" ht="109.5" hidden="false" customHeight="true" outlineLevel="0" collapsed="false">
      <c r="A56" s="9" t="n">
        <v>55</v>
      </c>
      <c r="B56" s="9" t="s">
        <v>661</v>
      </c>
      <c r="C56" s="9" t="n">
        <v>2022</v>
      </c>
      <c r="D56" s="9" t="s">
        <v>39</v>
      </c>
      <c r="E56" s="9" t="s">
        <v>662</v>
      </c>
      <c r="F56" s="9"/>
      <c r="G56" s="10" t="s">
        <v>663</v>
      </c>
      <c r="H56" s="9" t="s">
        <v>445</v>
      </c>
      <c r="I56" s="11" t="s">
        <v>48</v>
      </c>
      <c r="J56" s="11"/>
      <c r="K56" s="9" t="s">
        <v>446</v>
      </c>
      <c r="L56" s="11" t="s">
        <v>48</v>
      </c>
      <c r="M56" s="11"/>
      <c r="N56" s="9" t="s">
        <v>664</v>
      </c>
    </row>
    <row r="57" customFormat="false" ht="109.5" hidden="false" customHeight="true" outlineLevel="0" collapsed="false">
      <c r="A57" s="9" t="n">
        <v>56</v>
      </c>
      <c r="B57" s="9" t="s">
        <v>665</v>
      </c>
      <c r="C57" s="9" t="n">
        <v>2023</v>
      </c>
      <c r="D57" s="9" t="s">
        <v>39</v>
      </c>
      <c r="E57" s="9" t="s">
        <v>666</v>
      </c>
      <c r="F57" s="9" t="s">
        <v>667</v>
      </c>
      <c r="G57" s="10" t="s">
        <v>668</v>
      </c>
      <c r="H57" s="9" t="s">
        <v>466</v>
      </c>
      <c r="I57" s="11" t="s">
        <v>43</v>
      </c>
      <c r="J57" s="11" t="s">
        <v>445</v>
      </c>
      <c r="K57" s="9" t="s">
        <v>446</v>
      </c>
      <c r="L57" s="11" t="s">
        <v>48</v>
      </c>
      <c r="M57" s="11"/>
      <c r="N57" s="9" t="s">
        <v>669</v>
      </c>
    </row>
    <row r="58" customFormat="false" ht="109.5" hidden="false" customHeight="true" outlineLevel="0" collapsed="false">
      <c r="A58" s="9" t="n">
        <v>57</v>
      </c>
      <c r="B58" s="9" t="s">
        <v>670</v>
      </c>
      <c r="C58" s="9" t="n">
        <v>2026</v>
      </c>
      <c r="D58" s="9" t="s">
        <v>67</v>
      </c>
      <c r="E58" s="9" t="s">
        <v>671</v>
      </c>
      <c r="F58" s="9" t="s">
        <v>672</v>
      </c>
      <c r="G58" s="10" t="s">
        <v>673</v>
      </c>
      <c r="H58" s="9" t="s">
        <v>445</v>
      </c>
      <c r="I58" s="11" t="s">
        <v>48</v>
      </c>
      <c r="J58" s="11"/>
      <c r="K58" s="9" t="s">
        <v>446</v>
      </c>
      <c r="L58" s="11" t="s">
        <v>43</v>
      </c>
      <c r="M58" s="11" t="s">
        <v>461</v>
      </c>
      <c r="N58" s="9"/>
    </row>
    <row r="59" customFormat="false" ht="109.5" hidden="false" customHeight="true" outlineLevel="0" collapsed="false">
      <c r="A59" s="9" t="n">
        <v>58</v>
      </c>
      <c r="B59" s="9" t="s">
        <v>674</v>
      </c>
      <c r="C59" s="9" t="n">
        <v>1997</v>
      </c>
      <c r="D59" s="9" t="s">
        <v>39</v>
      </c>
      <c r="E59" s="9" t="s">
        <v>675</v>
      </c>
      <c r="F59" s="9" t="s">
        <v>676</v>
      </c>
      <c r="G59" s="10" t="s">
        <v>677</v>
      </c>
      <c r="H59" s="9" t="s">
        <v>466</v>
      </c>
      <c r="I59" s="11" t="s">
        <v>48</v>
      </c>
      <c r="J59" s="11"/>
      <c r="K59" s="9" t="s">
        <v>461</v>
      </c>
      <c r="L59" s="11" t="s">
        <v>48</v>
      </c>
      <c r="M59" s="11"/>
      <c r="N59" s="9" t="s">
        <v>678</v>
      </c>
    </row>
    <row r="60" customFormat="false" ht="109.5" hidden="false" customHeight="true" outlineLevel="0" collapsed="false">
      <c r="A60" s="9" t="n">
        <v>59</v>
      </c>
      <c r="B60" s="9" t="s">
        <v>679</v>
      </c>
      <c r="C60" s="9" t="n">
        <v>2026</v>
      </c>
      <c r="D60" s="9" t="s">
        <v>39</v>
      </c>
      <c r="E60" s="9" t="s">
        <v>680</v>
      </c>
      <c r="F60" s="9" t="s">
        <v>681</v>
      </c>
      <c r="G60" s="10" t="s">
        <v>682</v>
      </c>
      <c r="H60" s="9" t="s">
        <v>445</v>
      </c>
      <c r="I60" s="11" t="s">
        <v>48</v>
      </c>
      <c r="J60" s="11"/>
      <c r="K60" s="9" t="s">
        <v>446</v>
      </c>
      <c r="L60" s="11" t="s">
        <v>48</v>
      </c>
      <c r="M60" s="11"/>
      <c r="N60" s="9" t="s">
        <v>683</v>
      </c>
    </row>
    <row r="61" customFormat="false" ht="109.5" hidden="false" customHeight="true" outlineLevel="0" collapsed="false">
      <c r="A61" s="9" t="n">
        <v>60</v>
      </c>
      <c r="B61" s="9" t="s">
        <v>684</v>
      </c>
      <c r="C61" s="9" t="n">
        <v>2021</v>
      </c>
      <c r="D61" s="9" t="s">
        <v>39</v>
      </c>
      <c r="E61" s="9" t="s">
        <v>685</v>
      </c>
      <c r="F61" s="9" t="s">
        <v>686</v>
      </c>
      <c r="G61" s="10" t="s">
        <v>687</v>
      </c>
      <c r="H61" s="9" t="s">
        <v>466</v>
      </c>
      <c r="I61" s="11" t="s">
        <v>48</v>
      </c>
      <c r="J61" s="11"/>
      <c r="K61" s="9" t="s">
        <v>461</v>
      </c>
      <c r="L61" s="11" t="s">
        <v>43</v>
      </c>
      <c r="M61" s="11" t="s">
        <v>446</v>
      </c>
      <c r="N61" s="9" t="s">
        <v>688</v>
      </c>
    </row>
    <row r="62" customFormat="false" ht="109.5" hidden="false" customHeight="true" outlineLevel="0" collapsed="false">
      <c r="A62" s="9" t="n">
        <v>61</v>
      </c>
      <c r="B62" s="9" t="s">
        <v>350</v>
      </c>
      <c r="C62" s="9" t="n">
        <v>2024</v>
      </c>
      <c r="D62" s="9" t="s">
        <v>39</v>
      </c>
      <c r="E62" s="9" t="s">
        <v>351</v>
      </c>
      <c r="F62" s="9" t="s">
        <v>352</v>
      </c>
      <c r="G62" s="10" t="s">
        <v>353</v>
      </c>
      <c r="H62" s="9" t="s">
        <v>451</v>
      </c>
      <c r="I62" s="11" t="s">
        <v>48</v>
      </c>
      <c r="J62" s="11"/>
      <c r="K62" s="9" t="s">
        <v>467</v>
      </c>
      <c r="L62" s="11" t="s">
        <v>48</v>
      </c>
      <c r="M62" s="11"/>
      <c r="N62" s="9"/>
    </row>
    <row r="63" customFormat="false" ht="109.5" hidden="false" customHeight="true" outlineLevel="0" collapsed="false">
      <c r="A63" s="9" t="n">
        <v>62</v>
      </c>
      <c r="B63" s="9" t="s">
        <v>689</v>
      </c>
      <c r="C63" s="9" t="n">
        <v>2019</v>
      </c>
      <c r="D63" s="9" t="s">
        <v>39</v>
      </c>
      <c r="E63" s="9" t="s">
        <v>690</v>
      </c>
      <c r="F63" s="9" t="s">
        <v>691</v>
      </c>
      <c r="G63" s="10" t="s">
        <v>692</v>
      </c>
      <c r="H63" s="9" t="s">
        <v>445</v>
      </c>
      <c r="I63" s="11" t="s">
        <v>48</v>
      </c>
      <c r="J63" s="11"/>
      <c r="K63" s="9" t="s">
        <v>446</v>
      </c>
      <c r="L63" s="11" t="s">
        <v>48</v>
      </c>
      <c r="M63" s="11"/>
      <c r="N63" s="9" t="s">
        <v>693</v>
      </c>
    </row>
    <row r="64" customFormat="false" ht="109.5" hidden="false" customHeight="true" outlineLevel="0" collapsed="false">
      <c r="A64" s="9" t="n">
        <v>63</v>
      </c>
      <c r="B64" s="9" t="s">
        <v>694</v>
      </c>
      <c r="C64" s="9" t="n">
        <v>2024</v>
      </c>
      <c r="D64" s="9" t="s">
        <v>39</v>
      </c>
      <c r="E64" s="9" t="s">
        <v>695</v>
      </c>
      <c r="F64" s="9" t="s">
        <v>696</v>
      </c>
      <c r="G64" s="10" t="s">
        <v>697</v>
      </c>
      <c r="H64" s="9" t="s">
        <v>445</v>
      </c>
      <c r="I64" s="11" t="s">
        <v>48</v>
      </c>
      <c r="J64" s="11"/>
      <c r="K64" s="9" t="s">
        <v>446</v>
      </c>
      <c r="L64" s="11" t="s">
        <v>48</v>
      </c>
      <c r="M64" s="11"/>
      <c r="N64" s="9"/>
    </row>
    <row r="65" customFormat="false" ht="109.5" hidden="false" customHeight="true" outlineLevel="0" collapsed="false">
      <c r="A65" s="9" t="n">
        <v>64</v>
      </c>
      <c r="B65" s="9" t="s">
        <v>698</v>
      </c>
      <c r="C65" s="9" t="n">
        <v>2015</v>
      </c>
      <c r="D65" s="9" t="s">
        <v>39</v>
      </c>
      <c r="E65" s="9" t="s">
        <v>699</v>
      </c>
      <c r="F65" s="9" t="s">
        <v>700</v>
      </c>
      <c r="G65" s="10" t="s">
        <v>701</v>
      </c>
      <c r="H65" s="9" t="s">
        <v>466</v>
      </c>
      <c r="I65" s="11" t="s">
        <v>48</v>
      </c>
      <c r="J65" s="11"/>
      <c r="K65" s="9" t="s">
        <v>461</v>
      </c>
      <c r="L65" s="11" t="s">
        <v>48</v>
      </c>
      <c r="M65" s="11"/>
      <c r="N65" s="9" t="s">
        <v>702</v>
      </c>
    </row>
    <row r="66" customFormat="false" ht="109.5" hidden="false" customHeight="true" outlineLevel="0" collapsed="false">
      <c r="A66" s="9" t="n">
        <v>65</v>
      </c>
      <c r="B66" s="9" t="s">
        <v>703</v>
      </c>
      <c r="C66" s="9" t="n">
        <v>2026</v>
      </c>
      <c r="D66" s="9" t="s">
        <v>55</v>
      </c>
      <c r="E66" s="9" t="s">
        <v>704</v>
      </c>
      <c r="F66" s="9" t="s">
        <v>705</v>
      </c>
      <c r="G66" s="10" t="s">
        <v>706</v>
      </c>
      <c r="H66" s="9" t="s">
        <v>466</v>
      </c>
      <c r="I66" s="11" t="s">
        <v>48</v>
      </c>
      <c r="J66" s="11"/>
      <c r="K66" s="9" t="s">
        <v>467</v>
      </c>
      <c r="L66" s="11" t="s">
        <v>48</v>
      </c>
      <c r="M66" s="11"/>
      <c r="N66" s="9" t="s">
        <v>707</v>
      </c>
    </row>
    <row r="67" customFormat="false" ht="109.5" hidden="false" customHeight="true" outlineLevel="0" collapsed="false">
      <c r="A67" s="9" t="n">
        <v>66</v>
      </c>
      <c r="B67" s="9" t="s">
        <v>708</v>
      </c>
      <c r="C67" s="9" t="n">
        <v>2026</v>
      </c>
      <c r="D67" s="9" t="s">
        <v>55</v>
      </c>
      <c r="E67" s="9" t="s">
        <v>709</v>
      </c>
      <c r="F67" s="9" t="s">
        <v>710</v>
      </c>
      <c r="G67" s="10" t="s">
        <v>711</v>
      </c>
      <c r="H67" s="9" t="s">
        <v>481</v>
      </c>
      <c r="I67" s="11" t="s">
        <v>48</v>
      </c>
      <c r="J67" s="11"/>
      <c r="K67" s="9" t="s">
        <v>487</v>
      </c>
      <c r="L67" s="11" t="s">
        <v>48</v>
      </c>
      <c r="M67" s="11"/>
      <c r="N67" s="9" t="s">
        <v>712</v>
      </c>
    </row>
    <row r="68" customFormat="false" ht="109.5" hidden="false" customHeight="true" outlineLevel="0" collapsed="false">
      <c r="A68" s="9" t="n">
        <v>67</v>
      </c>
      <c r="B68" s="9" t="s">
        <v>713</v>
      </c>
      <c r="C68" s="9" t="n">
        <v>2026</v>
      </c>
      <c r="D68" s="9" t="s">
        <v>55</v>
      </c>
      <c r="E68" s="9" t="s">
        <v>714</v>
      </c>
      <c r="F68" s="9" t="s">
        <v>715</v>
      </c>
      <c r="G68" s="10" t="s">
        <v>716</v>
      </c>
      <c r="H68" s="9" t="s">
        <v>445</v>
      </c>
      <c r="I68" s="11" t="s">
        <v>48</v>
      </c>
      <c r="J68" s="11"/>
      <c r="K68" s="9" t="s">
        <v>446</v>
      </c>
      <c r="L68" s="11" t="s">
        <v>48</v>
      </c>
      <c r="M68" s="11"/>
      <c r="N68" s="9"/>
    </row>
    <row r="69" customFormat="false" ht="109.5" hidden="false" customHeight="true" outlineLevel="0" collapsed="false">
      <c r="A69" s="9" t="n">
        <v>68</v>
      </c>
      <c r="B69" s="9" t="s">
        <v>717</v>
      </c>
      <c r="C69" s="9" t="n">
        <v>2010</v>
      </c>
      <c r="D69" s="9" t="s">
        <v>39</v>
      </c>
      <c r="E69" s="9" t="s">
        <v>718</v>
      </c>
      <c r="F69" s="9" t="s">
        <v>719</v>
      </c>
      <c r="G69" s="10" t="s">
        <v>720</v>
      </c>
      <c r="H69" s="9" t="s">
        <v>466</v>
      </c>
      <c r="I69" s="11" t="s">
        <v>48</v>
      </c>
      <c r="J69" s="11"/>
      <c r="K69" s="9" t="s">
        <v>507</v>
      </c>
      <c r="L69" s="11" t="s">
        <v>48</v>
      </c>
      <c r="M69" s="11"/>
      <c r="N69" s="9" t="s">
        <v>721</v>
      </c>
    </row>
    <row r="70" customFormat="false" ht="109.5" hidden="false" customHeight="true" outlineLevel="0" collapsed="false">
      <c r="A70" s="9" t="n">
        <v>69</v>
      </c>
      <c r="B70" s="9" t="s">
        <v>722</v>
      </c>
      <c r="C70" s="9" t="n">
        <v>2026</v>
      </c>
      <c r="D70" s="9" t="s">
        <v>39</v>
      </c>
      <c r="E70" s="9" t="s">
        <v>723</v>
      </c>
      <c r="F70" s="9" t="s">
        <v>724</v>
      </c>
      <c r="G70" s="10" t="s">
        <v>725</v>
      </c>
      <c r="H70" s="9" t="s">
        <v>445</v>
      </c>
      <c r="I70" s="11" t="s">
        <v>48</v>
      </c>
      <c r="J70" s="11"/>
      <c r="K70" s="9" t="s">
        <v>446</v>
      </c>
      <c r="L70" s="11" t="s">
        <v>48</v>
      </c>
      <c r="M70" s="11"/>
      <c r="N70" s="9" t="s">
        <v>726</v>
      </c>
    </row>
    <row r="71" customFormat="false" ht="109.5" hidden="false" customHeight="true" outlineLevel="0" collapsed="false">
      <c r="A71" s="9" t="n">
        <v>70</v>
      </c>
      <c r="B71" s="9" t="s">
        <v>727</v>
      </c>
      <c r="C71" s="9" t="n">
        <v>2018</v>
      </c>
      <c r="D71" s="9" t="s">
        <v>39</v>
      </c>
      <c r="E71" s="9" t="s">
        <v>728</v>
      </c>
      <c r="F71" s="9" t="s">
        <v>729</v>
      </c>
      <c r="G71" s="10" t="s">
        <v>730</v>
      </c>
      <c r="H71" s="9" t="s">
        <v>445</v>
      </c>
      <c r="I71" s="11" t="s">
        <v>48</v>
      </c>
      <c r="J71" s="11"/>
      <c r="K71" s="9" t="s">
        <v>446</v>
      </c>
      <c r="L71" s="11" t="s">
        <v>48</v>
      </c>
      <c r="M71" s="11"/>
      <c r="N71" s="9"/>
    </row>
    <row r="72" customFormat="false" ht="109.5" hidden="false" customHeight="true" outlineLevel="0" collapsed="false">
      <c r="A72" s="9" t="n">
        <v>71</v>
      </c>
      <c r="B72" s="9" t="s">
        <v>731</v>
      </c>
      <c r="C72" s="9" t="n">
        <v>2025</v>
      </c>
      <c r="D72" s="9" t="s">
        <v>39</v>
      </c>
      <c r="E72" s="9" t="s">
        <v>732</v>
      </c>
      <c r="F72" s="9" t="s">
        <v>733</v>
      </c>
      <c r="G72" s="10" t="s">
        <v>734</v>
      </c>
      <c r="H72" s="9" t="s">
        <v>445</v>
      </c>
      <c r="I72" s="11" t="s">
        <v>48</v>
      </c>
      <c r="J72" s="11"/>
      <c r="K72" s="9" t="s">
        <v>446</v>
      </c>
      <c r="L72" s="11" t="s">
        <v>48</v>
      </c>
      <c r="M72" s="11"/>
      <c r="N72" s="9" t="s">
        <v>735</v>
      </c>
    </row>
    <row r="73" customFormat="false" ht="109.5" hidden="false" customHeight="true" outlineLevel="0" collapsed="false">
      <c r="A73" s="9" t="n">
        <v>72</v>
      </c>
      <c r="B73" s="9" t="s">
        <v>736</v>
      </c>
      <c r="C73" s="9" t="n">
        <v>2022</v>
      </c>
      <c r="D73" s="9" t="s">
        <v>39</v>
      </c>
      <c r="E73" s="9" t="s">
        <v>737</v>
      </c>
      <c r="F73" s="9"/>
      <c r="G73" s="10" t="s">
        <v>738</v>
      </c>
      <c r="H73" s="9" t="s">
        <v>445</v>
      </c>
      <c r="I73" s="11" t="s">
        <v>48</v>
      </c>
      <c r="J73" s="11"/>
      <c r="K73" s="9" t="s">
        <v>446</v>
      </c>
      <c r="L73" s="11" t="s">
        <v>48</v>
      </c>
      <c r="M73" s="11"/>
      <c r="N73" s="9"/>
    </row>
    <row r="74" customFormat="false" ht="109.5" hidden="false" customHeight="true" outlineLevel="0" collapsed="false">
      <c r="A74" s="9" t="n">
        <v>73</v>
      </c>
      <c r="B74" s="9" t="s">
        <v>739</v>
      </c>
      <c r="C74" s="9" t="n">
        <v>2026</v>
      </c>
      <c r="D74" s="9" t="s">
        <v>67</v>
      </c>
      <c r="E74" s="9" t="s">
        <v>740</v>
      </c>
      <c r="F74" s="9" t="s">
        <v>741</v>
      </c>
      <c r="G74" s="10" t="s">
        <v>742</v>
      </c>
      <c r="H74" s="9" t="s">
        <v>445</v>
      </c>
      <c r="I74" s="11" t="s">
        <v>48</v>
      </c>
      <c r="J74" s="11"/>
      <c r="K74" s="9" t="s">
        <v>507</v>
      </c>
      <c r="L74" s="11" t="s">
        <v>48</v>
      </c>
      <c r="M74" s="11"/>
      <c r="N74" s="9"/>
    </row>
    <row r="75" customFormat="false" ht="109.5" hidden="false" customHeight="true" outlineLevel="0" collapsed="false">
      <c r="A75" s="9" t="n">
        <v>74</v>
      </c>
      <c r="B75" s="9" t="s">
        <v>743</v>
      </c>
      <c r="C75" s="9" t="n">
        <v>2014</v>
      </c>
      <c r="D75" s="9" t="s">
        <v>50</v>
      </c>
      <c r="E75" s="9" t="s">
        <v>744</v>
      </c>
      <c r="F75" s="9" t="s">
        <v>745</v>
      </c>
      <c r="G75" s="10" t="s">
        <v>746</v>
      </c>
      <c r="H75" s="9" t="s">
        <v>466</v>
      </c>
      <c r="I75" s="11" t="s">
        <v>48</v>
      </c>
      <c r="J75" s="11"/>
      <c r="K75" s="9" t="s">
        <v>446</v>
      </c>
      <c r="L75" s="11" t="s">
        <v>48</v>
      </c>
      <c r="M75" s="11"/>
      <c r="N75" s="9" t="s">
        <v>747</v>
      </c>
    </row>
    <row r="76" customFormat="false" ht="109.5" hidden="false" customHeight="true" outlineLevel="0" collapsed="false">
      <c r="A76" s="9" t="n">
        <v>75</v>
      </c>
      <c r="B76" s="9" t="s">
        <v>748</v>
      </c>
      <c r="C76" s="9" t="n">
        <v>2025</v>
      </c>
      <c r="D76" s="9" t="s">
        <v>39</v>
      </c>
      <c r="E76" s="9" t="s">
        <v>749</v>
      </c>
      <c r="F76" s="9" t="s">
        <v>750</v>
      </c>
      <c r="G76" s="10" t="s">
        <v>751</v>
      </c>
      <c r="H76" s="9" t="s">
        <v>451</v>
      </c>
      <c r="I76" s="11" t="s">
        <v>48</v>
      </c>
      <c r="J76" s="11"/>
      <c r="K76" s="9" t="s">
        <v>461</v>
      </c>
      <c r="L76" s="11" t="s">
        <v>48</v>
      </c>
      <c r="M76" s="11"/>
      <c r="N76" s="9" t="s">
        <v>752</v>
      </c>
    </row>
    <row r="77" customFormat="false" ht="109.5" hidden="false" customHeight="true" outlineLevel="0" collapsed="false">
      <c r="A77" s="9" t="n">
        <v>76</v>
      </c>
      <c r="B77" s="9" t="s">
        <v>753</v>
      </c>
      <c r="C77" s="9" t="n">
        <v>2025</v>
      </c>
      <c r="D77" s="9" t="s">
        <v>55</v>
      </c>
      <c r="E77" s="9" t="s">
        <v>754</v>
      </c>
      <c r="F77" s="9" t="s">
        <v>755</v>
      </c>
      <c r="G77" s="10" t="s">
        <v>756</v>
      </c>
      <c r="H77" s="9" t="s">
        <v>445</v>
      </c>
      <c r="I77" s="11" t="s">
        <v>48</v>
      </c>
      <c r="J77" s="11"/>
      <c r="K77" s="9" t="s">
        <v>446</v>
      </c>
      <c r="L77" s="11" t="s">
        <v>43</v>
      </c>
      <c r="M77" s="11" t="s">
        <v>461</v>
      </c>
      <c r="N77" s="9"/>
    </row>
    <row r="78" customFormat="false" ht="109.5" hidden="false" customHeight="true" outlineLevel="0" collapsed="false">
      <c r="A78" s="9" t="n">
        <v>77</v>
      </c>
      <c r="B78" s="9" t="s">
        <v>757</v>
      </c>
      <c r="C78" s="9" t="n">
        <v>2023</v>
      </c>
      <c r="D78" s="9" t="s">
        <v>39</v>
      </c>
      <c r="E78" s="9" t="s">
        <v>758</v>
      </c>
      <c r="F78" s="9" t="s">
        <v>759</v>
      </c>
      <c r="G78" s="10" t="s">
        <v>760</v>
      </c>
      <c r="H78" s="9" t="s">
        <v>451</v>
      </c>
      <c r="I78" s="11" t="s">
        <v>48</v>
      </c>
      <c r="J78" s="11"/>
      <c r="K78" s="9" t="s">
        <v>559</v>
      </c>
      <c r="L78" s="11" t="s">
        <v>48</v>
      </c>
      <c r="M78" s="11"/>
      <c r="N78" s="9" t="s">
        <v>761</v>
      </c>
    </row>
    <row r="79" customFormat="false" ht="109.5" hidden="false" customHeight="true" outlineLevel="0" collapsed="false">
      <c r="A79" s="9" t="n">
        <v>78</v>
      </c>
      <c r="B79" s="9" t="s">
        <v>762</v>
      </c>
      <c r="C79" s="9" t="n">
        <v>2025</v>
      </c>
      <c r="D79" s="9" t="s">
        <v>39</v>
      </c>
      <c r="E79" s="9" t="s">
        <v>763</v>
      </c>
      <c r="F79" s="9" t="s">
        <v>764</v>
      </c>
      <c r="G79" s="10" t="s">
        <v>765</v>
      </c>
      <c r="H79" s="9" t="s">
        <v>481</v>
      </c>
      <c r="I79" s="11" t="s">
        <v>43</v>
      </c>
      <c r="J79" s="11" t="s">
        <v>451</v>
      </c>
      <c r="K79" s="9" t="s">
        <v>766</v>
      </c>
      <c r="L79" s="11" t="s">
        <v>43</v>
      </c>
      <c r="M79" s="11" t="s">
        <v>482</v>
      </c>
      <c r="N79" s="9"/>
    </row>
    <row r="80" customFormat="false" ht="109.5" hidden="false" customHeight="true" outlineLevel="0" collapsed="false">
      <c r="A80" s="9" t="n">
        <v>79</v>
      </c>
      <c r="B80" s="9" t="s">
        <v>767</v>
      </c>
      <c r="C80" s="9" t="n">
        <v>2026</v>
      </c>
      <c r="D80" s="9" t="s">
        <v>55</v>
      </c>
      <c r="E80" s="9" t="s">
        <v>768</v>
      </c>
      <c r="F80" s="9" t="s">
        <v>769</v>
      </c>
      <c r="G80" s="10" t="s">
        <v>770</v>
      </c>
      <c r="H80" s="9" t="s">
        <v>445</v>
      </c>
      <c r="I80" s="11" t="s">
        <v>48</v>
      </c>
      <c r="J80" s="11"/>
      <c r="K80" s="9" t="s">
        <v>446</v>
      </c>
      <c r="L80" s="11" t="s">
        <v>48</v>
      </c>
      <c r="M80" s="11"/>
      <c r="N80" s="9"/>
    </row>
    <row r="81" customFormat="false" ht="109.5" hidden="false" customHeight="true" outlineLevel="0" collapsed="false">
      <c r="A81" s="9" t="n">
        <v>80</v>
      </c>
      <c r="B81" s="9" t="s">
        <v>771</v>
      </c>
      <c r="C81" s="9" t="n">
        <v>2026</v>
      </c>
      <c r="D81" s="9" t="s">
        <v>39</v>
      </c>
      <c r="E81" s="9" t="s">
        <v>772</v>
      </c>
      <c r="F81" s="9" t="s">
        <v>773</v>
      </c>
      <c r="G81" s="10" t="s">
        <v>774</v>
      </c>
      <c r="H81" s="9" t="s">
        <v>451</v>
      </c>
      <c r="I81" s="11" t="s">
        <v>48</v>
      </c>
      <c r="J81" s="11"/>
      <c r="K81" s="9" t="s">
        <v>507</v>
      </c>
      <c r="L81" s="11" t="s">
        <v>48</v>
      </c>
      <c r="M81" s="11"/>
      <c r="N81" s="9" t="s">
        <v>775</v>
      </c>
    </row>
    <row r="82" customFormat="false" ht="109.5" hidden="false" customHeight="true" outlineLevel="0" collapsed="false">
      <c r="A82" s="9" t="n">
        <v>81</v>
      </c>
      <c r="B82" s="9" t="s">
        <v>776</v>
      </c>
      <c r="C82" s="9" t="n">
        <v>2026</v>
      </c>
      <c r="D82" s="9" t="s">
        <v>55</v>
      </c>
      <c r="E82" s="9" t="s">
        <v>777</v>
      </c>
      <c r="F82" s="9" t="s">
        <v>778</v>
      </c>
      <c r="G82" s="10" t="s">
        <v>779</v>
      </c>
      <c r="H82" s="9" t="s">
        <v>445</v>
      </c>
      <c r="I82" s="11" t="s">
        <v>48</v>
      </c>
      <c r="J82" s="11"/>
      <c r="K82" s="9" t="s">
        <v>461</v>
      </c>
      <c r="L82" s="11" t="s">
        <v>43</v>
      </c>
      <c r="M82" s="11" t="s">
        <v>446</v>
      </c>
      <c r="N82" s="9"/>
    </row>
    <row r="83" customFormat="false" ht="109.5" hidden="false" customHeight="true" outlineLevel="0" collapsed="false">
      <c r="A83" s="9" t="n">
        <v>82</v>
      </c>
      <c r="B83" s="9" t="s">
        <v>780</v>
      </c>
      <c r="C83" s="9" t="n">
        <v>2026</v>
      </c>
      <c r="D83" s="9" t="s">
        <v>55</v>
      </c>
      <c r="E83" s="9" t="s">
        <v>781</v>
      </c>
      <c r="F83" s="9" t="s">
        <v>782</v>
      </c>
      <c r="G83" s="10" t="s">
        <v>783</v>
      </c>
      <c r="H83" s="9" t="s">
        <v>445</v>
      </c>
      <c r="I83" s="11" t="s">
        <v>48</v>
      </c>
      <c r="J83" s="11"/>
      <c r="K83" s="9" t="s">
        <v>446</v>
      </c>
      <c r="L83" s="11" t="s">
        <v>48</v>
      </c>
      <c r="M83" s="11"/>
      <c r="N83" s="9"/>
    </row>
    <row r="84" customFormat="false" ht="109.5" hidden="false" customHeight="true" outlineLevel="0" collapsed="false">
      <c r="A84" s="9" t="n">
        <v>83</v>
      </c>
      <c r="B84" s="9" t="s">
        <v>784</v>
      </c>
      <c r="C84" s="9" t="n">
        <v>2026</v>
      </c>
      <c r="D84" s="9" t="s">
        <v>55</v>
      </c>
      <c r="E84" s="9" t="s">
        <v>785</v>
      </c>
      <c r="F84" s="9" t="s">
        <v>786</v>
      </c>
      <c r="G84" s="10" t="s">
        <v>787</v>
      </c>
      <c r="H84" s="9" t="s">
        <v>451</v>
      </c>
      <c r="I84" s="11" t="s">
        <v>48</v>
      </c>
      <c r="J84" s="11"/>
      <c r="K84" s="9" t="s">
        <v>493</v>
      </c>
      <c r="L84" s="11" t="s">
        <v>48</v>
      </c>
      <c r="M84" s="11"/>
      <c r="N84" s="9"/>
    </row>
    <row r="85" customFormat="false" ht="109.5" hidden="false" customHeight="true" outlineLevel="0" collapsed="false">
      <c r="A85" s="9" t="n">
        <v>84</v>
      </c>
      <c r="B85" s="9" t="s">
        <v>788</v>
      </c>
      <c r="C85" s="9" t="n">
        <v>2018</v>
      </c>
      <c r="D85" s="9" t="s">
        <v>39</v>
      </c>
      <c r="E85" s="9" t="s">
        <v>789</v>
      </c>
      <c r="F85" s="9"/>
      <c r="G85" s="10" t="s">
        <v>790</v>
      </c>
      <c r="H85" s="9" t="s">
        <v>445</v>
      </c>
      <c r="I85" s="11" t="s">
        <v>48</v>
      </c>
      <c r="J85" s="11"/>
      <c r="K85" s="9" t="s">
        <v>446</v>
      </c>
      <c r="L85" s="11" t="s">
        <v>48</v>
      </c>
      <c r="M85" s="11"/>
      <c r="N85" s="9"/>
    </row>
    <row r="86" customFormat="false" ht="109.5" hidden="false" customHeight="true" outlineLevel="0" collapsed="false">
      <c r="A86" s="9" t="n">
        <v>85</v>
      </c>
      <c r="B86" s="9" t="s">
        <v>791</v>
      </c>
      <c r="C86" s="9" t="n">
        <v>2026</v>
      </c>
      <c r="D86" s="9" t="s">
        <v>55</v>
      </c>
      <c r="E86" s="9" t="s">
        <v>792</v>
      </c>
      <c r="F86" s="9" t="s">
        <v>793</v>
      </c>
      <c r="G86" s="10" t="s">
        <v>794</v>
      </c>
      <c r="H86" s="9" t="s">
        <v>451</v>
      </c>
      <c r="I86" s="11" t="s">
        <v>48</v>
      </c>
      <c r="J86" s="11"/>
      <c r="K86" s="9" t="s">
        <v>446</v>
      </c>
      <c r="L86" s="11" t="s">
        <v>48</v>
      </c>
      <c r="M86" s="11"/>
      <c r="N86" s="9"/>
    </row>
    <row r="87" customFormat="false" ht="109.5" hidden="false" customHeight="true" outlineLevel="0" collapsed="false">
      <c r="A87" s="9" t="n">
        <v>86</v>
      </c>
      <c r="B87" s="9" t="s">
        <v>795</v>
      </c>
      <c r="C87" s="9" t="n">
        <v>2026</v>
      </c>
      <c r="D87" s="9" t="s">
        <v>55</v>
      </c>
      <c r="E87" s="9" t="s">
        <v>796</v>
      </c>
      <c r="F87" s="9" t="s">
        <v>797</v>
      </c>
      <c r="G87" s="10" t="s">
        <v>798</v>
      </c>
      <c r="H87" s="9" t="s">
        <v>451</v>
      </c>
      <c r="I87" s="11" t="s">
        <v>48</v>
      </c>
      <c r="J87" s="11"/>
      <c r="K87" s="9" t="s">
        <v>482</v>
      </c>
      <c r="L87" s="11" t="s">
        <v>48</v>
      </c>
      <c r="M87" s="11"/>
      <c r="N87" s="9"/>
    </row>
    <row r="88" customFormat="false" ht="109.5" hidden="false" customHeight="true" outlineLevel="0" collapsed="false">
      <c r="A88" s="9" t="n">
        <v>87</v>
      </c>
      <c r="B88" s="9" t="s">
        <v>799</v>
      </c>
      <c r="C88" s="9" t="n">
        <v>2026</v>
      </c>
      <c r="D88" s="9" t="s">
        <v>55</v>
      </c>
      <c r="E88" s="9" t="s">
        <v>800</v>
      </c>
      <c r="F88" s="9" t="s">
        <v>801</v>
      </c>
      <c r="G88" s="10" t="s">
        <v>802</v>
      </c>
      <c r="H88" s="9" t="s">
        <v>445</v>
      </c>
      <c r="I88" s="11" t="s">
        <v>48</v>
      </c>
      <c r="J88" s="11"/>
      <c r="K88" s="9" t="s">
        <v>446</v>
      </c>
      <c r="L88" s="11" t="s">
        <v>48</v>
      </c>
      <c r="M88" s="11"/>
      <c r="N88" s="9"/>
    </row>
    <row r="89" customFormat="false" ht="109.5" hidden="false" customHeight="true" outlineLevel="0" collapsed="false">
      <c r="A89" s="9" t="n">
        <v>88</v>
      </c>
      <c r="B89" s="9" t="s">
        <v>803</v>
      </c>
      <c r="C89" s="9" t="n">
        <v>2026</v>
      </c>
      <c r="D89" s="9" t="s">
        <v>39</v>
      </c>
      <c r="E89" s="9" t="s">
        <v>804</v>
      </c>
      <c r="F89" s="9"/>
      <c r="G89" s="10" t="s">
        <v>805</v>
      </c>
      <c r="H89" s="9" t="s">
        <v>451</v>
      </c>
      <c r="I89" s="11" t="s">
        <v>48</v>
      </c>
      <c r="J89" s="11"/>
      <c r="K89" s="9" t="s">
        <v>559</v>
      </c>
      <c r="L89" s="11" t="s">
        <v>48</v>
      </c>
      <c r="M89" s="11"/>
      <c r="N89" s="9" t="s">
        <v>806</v>
      </c>
    </row>
    <row r="90" customFormat="false" ht="109.5" hidden="false" customHeight="true" outlineLevel="0" collapsed="false">
      <c r="A90" s="9" t="n">
        <v>89</v>
      </c>
      <c r="B90" s="9" t="s">
        <v>807</v>
      </c>
      <c r="C90" s="9" t="n">
        <v>2020</v>
      </c>
      <c r="D90" s="9" t="s">
        <v>39</v>
      </c>
      <c r="E90" s="9" t="s">
        <v>808</v>
      </c>
      <c r="F90" s="9"/>
      <c r="G90" s="10" t="s">
        <v>809</v>
      </c>
      <c r="H90" s="9" t="s">
        <v>466</v>
      </c>
      <c r="I90" s="11" t="s">
        <v>48</v>
      </c>
      <c r="J90" s="11"/>
      <c r="K90" s="9" t="s">
        <v>487</v>
      </c>
      <c r="L90" s="11" t="s">
        <v>48</v>
      </c>
      <c r="M90" s="11"/>
      <c r="N90" s="9" t="s">
        <v>810</v>
      </c>
    </row>
    <row r="91" customFormat="false" ht="109.5" hidden="false" customHeight="true" outlineLevel="0" collapsed="false">
      <c r="A91" s="9" t="n">
        <v>90</v>
      </c>
      <c r="B91" s="9" t="s">
        <v>811</v>
      </c>
      <c r="C91" s="9" t="n">
        <v>2025</v>
      </c>
      <c r="D91" s="9" t="s">
        <v>39</v>
      </c>
      <c r="E91" s="9" t="s">
        <v>812</v>
      </c>
      <c r="F91" s="9" t="s">
        <v>813</v>
      </c>
      <c r="G91" s="10" t="s">
        <v>814</v>
      </c>
      <c r="H91" s="9" t="s">
        <v>445</v>
      </c>
      <c r="I91" s="11" t="s">
        <v>43</v>
      </c>
      <c r="J91" s="11" t="s">
        <v>451</v>
      </c>
      <c r="K91" s="9" t="s">
        <v>446</v>
      </c>
      <c r="L91" s="11" t="s">
        <v>48</v>
      </c>
      <c r="M91" s="11"/>
      <c r="N91" s="9" t="s">
        <v>815</v>
      </c>
    </row>
    <row r="92" customFormat="false" ht="109.5" hidden="false" customHeight="true" outlineLevel="0" collapsed="false">
      <c r="A92" s="9" t="n">
        <v>91</v>
      </c>
      <c r="B92" s="9" t="s">
        <v>816</v>
      </c>
      <c r="C92" s="9" t="n">
        <v>2026</v>
      </c>
      <c r="D92" s="9" t="s">
        <v>39</v>
      </c>
      <c r="E92" s="9" t="s">
        <v>817</v>
      </c>
      <c r="F92" s="9" t="s">
        <v>818</v>
      </c>
      <c r="G92" s="10" t="s">
        <v>819</v>
      </c>
      <c r="H92" s="9" t="s">
        <v>451</v>
      </c>
      <c r="I92" s="11" t="s">
        <v>43</v>
      </c>
      <c r="J92" s="11" t="s">
        <v>445</v>
      </c>
      <c r="K92" s="9" t="s">
        <v>493</v>
      </c>
      <c r="L92" s="11" t="s">
        <v>43</v>
      </c>
      <c r="M92" s="11" t="s">
        <v>482</v>
      </c>
      <c r="N92" s="9"/>
    </row>
    <row r="93" customFormat="false" ht="109.5" hidden="false" customHeight="true" outlineLevel="0" collapsed="false">
      <c r="A93" s="9" t="n">
        <v>92</v>
      </c>
      <c r="B93" s="9" t="s">
        <v>820</v>
      </c>
      <c r="C93" s="9" t="n">
        <v>2026</v>
      </c>
      <c r="D93" s="9" t="s">
        <v>39</v>
      </c>
      <c r="E93" s="9" t="s">
        <v>821</v>
      </c>
      <c r="F93" s="9" t="s">
        <v>822</v>
      </c>
      <c r="G93" s="10" t="s">
        <v>823</v>
      </c>
      <c r="H93" s="9" t="s">
        <v>445</v>
      </c>
      <c r="I93" s="11" t="s">
        <v>48</v>
      </c>
      <c r="J93" s="11"/>
      <c r="K93" s="9" t="s">
        <v>446</v>
      </c>
      <c r="L93" s="11" t="s">
        <v>48</v>
      </c>
      <c r="M93" s="11"/>
      <c r="N93" s="9"/>
    </row>
    <row r="94" customFormat="false" ht="109.5" hidden="false" customHeight="true" outlineLevel="0" collapsed="false">
      <c r="A94" s="9" t="n">
        <v>93</v>
      </c>
      <c r="B94" s="9" t="s">
        <v>190</v>
      </c>
      <c r="C94" s="9" t="n">
        <v>2026</v>
      </c>
      <c r="D94" s="9" t="s">
        <v>55</v>
      </c>
      <c r="E94" s="9" t="s">
        <v>191</v>
      </c>
      <c r="F94" s="9" t="s">
        <v>192</v>
      </c>
      <c r="G94" s="10" t="s">
        <v>193</v>
      </c>
      <c r="H94" s="9" t="s">
        <v>451</v>
      </c>
      <c r="I94" s="11" t="s">
        <v>48</v>
      </c>
      <c r="J94" s="11"/>
      <c r="K94" s="9" t="s">
        <v>487</v>
      </c>
      <c r="L94" s="11" t="s">
        <v>48</v>
      </c>
      <c r="M94" s="11"/>
      <c r="N94" s="9" t="s">
        <v>824</v>
      </c>
    </row>
    <row r="95" customFormat="false" ht="109.5" hidden="false" customHeight="true" outlineLevel="0" collapsed="false">
      <c r="A95" s="9" t="n">
        <v>94</v>
      </c>
      <c r="B95" s="9" t="s">
        <v>825</v>
      </c>
      <c r="C95" s="9" t="n">
        <v>2022</v>
      </c>
      <c r="D95" s="9" t="s">
        <v>50</v>
      </c>
      <c r="E95" s="9" t="s">
        <v>826</v>
      </c>
      <c r="F95" s="9"/>
      <c r="G95" s="10" t="s">
        <v>827</v>
      </c>
      <c r="H95" s="9" t="s">
        <v>445</v>
      </c>
      <c r="I95" s="11" t="s">
        <v>48</v>
      </c>
      <c r="J95" s="11"/>
      <c r="K95" s="9" t="s">
        <v>446</v>
      </c>
      <c r="L95" s="11" t="s">
        <v>48</v>
      </c>
      <c r="M95" s="11"/>
      <c r="N95" s="9"/>
    </row>
    <row r="96" customFormat="false" ht="109.5" hidden="false" customHeight="true" outlineLevel="0" collapsed="false">
      <c r="A96" s="9" t="n">
        <v>95</v>
      </c>
      <c r="B96" s="9" t="s">
        <v>828</v>
      </c>
      <c r="C96" s="9" t="n">
        <v>2023</v>
      </c>
      <c r="D96" s="9" t="s">
        <v>50</v>
      </c>
      <c r="E96" s="9" t="s">
        <v>829</v>
      </c>
      <c r="F96" s="9" t="s">
        <v>830</v>
      </c>
      <c r="G96" s="10" t="s">
        <v>831</v>
      </c>
      <c r="H96" s="9" t="s">
        <v>466</v>
      </c>
      <c r="I96" s="11" t="s">
        <v>43</v>
      </c>
      <c r="J96" s="11" t="s">
        <v>445</v>
      </c>
      <c r="K96" s="9" t="s">
        <v>446</v>
      </c>
      <c r="L96" s="11" t="s">
        <v>48</v>
      </c>
      <c r="M96" s="11"/>
      <c r="N96" s="9" t="s">
        <v>832</v>
      </c>
    </row>
    <row r="97" customFormat="false" ht="109.5" hidden="false" customHeight="true" outlineLevel="0" collapsed="false">
      <c r="A97" s="9" t="n">
        <v>96</v>
      </c>
      <c r="B97" s="9" t="s">
        <v>833</v>
      </c>
      <c r="C97" s="9" t="n">
        <v>2021</v>
      </c>
      <c r="D97" s="9" t="s">
        <v>55</v>
      </c>
      <c r="E97" s="9" t="s">
        <v>834</v>
      </c>
      <c r="F97" s="9" t="s">
        <v>835</v>
      </c>
      <c r="G97" s="10" t="s">
        <v>836</v>
      </c>
      <c r="H97" s="9" t="s">
        <v>481</v>
      </c>
      <c r="I97" s="11" t="s">
        <v>48</v>
      </c>
      <c r="J97" s="11"/>
      <c r="K97" s="9" t="s">
        <v>446</v>
      </c>
      <c r="L97" s="11" t="s">
        <v>48</v>
      </c>
      <c r="M97" s="11"/>
      <c r="N97" s="9"/>
    </row>
    <row r="98" customFormat="false" ht="109.5" hidden="false" customHeight="true" outlineLevel="0" collapsed="false">
      <c r="A98" s="9" t="n">
        <v>97</v>
      </c>
      <c r="B98" s="9" t="s">
        <v>837</v>
      </c>
      <c r="C98" s="9" t="n">
        <v>2026</v>
      </c>
      <c r="D98" s="9" t="s">
        <v>55</v>
      </c>
      <c r="E98" s="9" t="s">
        <v>838</v>
      </c>
      <c r="F98" s="9" t="s">
        <v>839</v>
      </c>
      <c r="G98" s="10" t="s">
        <v>840</v>
      </c>
      <c r="H98" s="9" t="s">
        <v>466</v>
      </c>
      <c r="I98" s="11" t="s">
        <v>48</v>
      </c>
      <c r="J98" s="11"/>
      <c r="K98" s="9" t="s">
        <v>446</v>
      </c>
      <c r="L98" s="11" t="s">
        <v>48</v>
      </c>
      <c r="M98" s="11"/>
      <c r="N98" s="9" t="s">
        <v>841</v>
      </c>
    </row>
    <row r="99" customFormat="false" ht="109.5" hidden="false" customHeight="true" outlineLevel="0" collapsed="false">
      <c r="A99" s="9" t="n">
        <v>98</v>
      </c>
      <c r="B99" s="9" t="s">
        <v>842</v>
      </c>
      <c r="C99" s="9" t="n">
        <v>2026</v>
      </c>
      <c r="D99" s="9" t="s">
        <v>55</v>
      </c>
      <c r="E99" s="9" t="s">
        <v>843</v>
      </c>
      <c r="F99" s="9" t="s">
        <v>844</v>
      </c>
      <c r="G99" s="10" t="s">
        <v>845</v>
      </c>
      <c r="H99" s="9" t="s">
        <v>451</v>
      </c>
      <c r="I99" s="11" t="s">
        <v>48</v>
      </c>
      <c r="J99" s="11"/>
      <c r="K99" s="9" t="s">
        <v>487</v>
      </c>
      <c r="L99" s="11" t="s">
        <v>48</v>
      </c>
      <c r="M99" s="11"/>
      <c r="N99" s="9" t="s">
        <v>846</v>
      </c>
    </row>
    <row r="100" customFormat="false" ht="109.5" hidden="false" customHeight="true" outlineLevel="0" collapsed="false">
      <c r="A100" s="9" t="n">
        <v>99</v>
      </c>
      <c r="B100" s="9" t="s">
        <v>412</v>
      </c>
      <c r="C100" s="9" t="n">
        <v>2026</v>
      </c>
      <c r="D100" s="9" t="s">
        <v>39</v>
      </c>
      <c r="E100" s="9" t="s">
        <v>413</v>
      </c>
      <c r="F100" s="9" t="s">
        <v>414</v>
      </c>
      <c r="G100" s="10" t="s">
        <v>415</v>
      </c>
      <c r="H100" s="9" t="s">
        <v>481</v>
      </c>
      <c r="I100" s="11" t="s">
        <v>43</v>
      </c>
      <c r="J100" s="11" t="s">
        <v>451</v>
      </c>
      <c r="K100" s="9" t="s">
        <v>467</v>
      </c>
      <c r="L100" s="11" t="s">
        <v>48</v>
      </c>
      <c r="M100" s="11"/>
      <c r="N100" s="9"/>
    </row>
    <row r="101" customFormat="false" ht="109.5" hidden="false" customHeight="true" outlineLevel="0" collapsed="false">
      <c r="A101" s="9" t="n">
        <v>100</v>
      </c>
      <c r="B101" s="9" t="s">
        <v>847</v>
      </c>
      <c r="C101" s="9" t="n">
        <v>2025</v>
      </c>
      <c r="D101" s="9" t="s">
        <v>39</v>
      </c>
      <c r="E101" s="9" t="s">
        <v>848</v>
      </c>
      <c r="F101" s="9"/>
      <c r="G101" s="10" t="s">
        <v>849</v>
      </c>
      <c r="H101" s="9" t="s">
        <v>445</v>
      </c>
      <c r="I101" s="11" t="s">
        <v>48</v>
      </c>
      <c r="J101" s="11"/>
      <c r="K101" s="9" t="s">
        <v>507</v>
      </c>
      <c r="L101" s="11" t="s">
        <v>48</v>
      </c>
      <c r="M101" s="11"/>
      <c r="N101" s="9"/>
    </row>
  </sheetData>
  <autoFilter ref="A1:N101"/>
  <dataValidations count="4">
    <dataValidation allowBlank="true" errorStyle="stop" operator="between" showDropDown="false" showErrorMessage="false" showInputMessage="false" sqref="I2:I101" type="list">
      <formula1>"Y,N"</formula1>
      <formula2>0</formula2>
    </dataValidation>
    <dataValidation allowBlank="true" errorStyle="stop" operator="between" showDropDown="false" showErrorMessage="false" showInputMessage="false" sqref="L2:L101" type="list">
      <formula1>"Y,N"</formula1>
      <formula2>0</formula2>
    </dataValidation>
    <dataValidation allowBlank="true" errorStyle="stop" operator="between" showDropDown="false" showErrorMessage="false" showInputMessage="false" sqref="J2:J101" type="list">
      <formula1>Lists!$A$1:$A$4</formula1>
      <formula2>0</formula2>
    </dataValidation>
    <dataValidation allowBlank="true" errorStyle="stop" operator="between" showDropDown="false" showErrorMessage="false" showInputMessage="false" sqref="M2:M101" type="list">
      <formula1>Lists!$B$1:$B$10</formula1>
      <formula2>0</formula2>
    </dataValidation>
  </dataValidations>
  <hyperlinks>
    <hyperlink ref="G2" r:id="rId1" display="https://doi.org/10.5281/zenodo.18217596"/>
    <hyperlink ref="G3" r:id="rId2" display="https://doi.org/10.1021/acsnano.5c20552"/>
    <hyperlink ref="G4" r:id="rId3" display="https://doi.org/10.48550/arxiv.2510.11661"/>
    <hyperlink ref="G5" r:id="rId4" display="https://doi.org/10.5281/zenodo.22299439"/>
    <hyperlink ref="G6" r:id="rId5" display="https://doi.org/10.1109/icra55743.2025.11128567"/>
    <hyperlink ref="G7" r:id="rId6" display="https://doi.org/10.26434/chemrxiv-2024-31fl1"/>
    <hyperlink ref="G8" r:id="rId7" display="https://doi.org/10.48550/arxiv.2603.11987"/>
    <hyperlink ref="G9" r:id="rId8" display="https://doi.org/10.48550/arxiv.2304.02484"/>
    <hyperlink ref="G10" r:id="rId9" display="https://doi.org/10.48550/arxiv.2503.22444"/>
    <hyperlink ref="G11" r:id="rId10" display="https://doi.org/10.26434/chemrxiv.15003459/v1"/>
    <hyperlink ref="G12" r:id="rId11" display="https://doi.org/10.48550/arxiv.2609.00365"/>
    <hyperlink ref="G13" r:id="rId12" display="https://doi.org/10.1007/978-3-031-95130-5_19"/>
    <hyperlink ref="G14" r:id="rId13" display="https://doi.org/10.1016/j.matdes.2026.116585"/>
    <hyperlink ref="G15" r:id="rId14" display="https://doi.org/10.5281/zenodo.17729292"/>
    <hyperlink ref="G16" r:id="rId15" display="https://doi.org/10.1038/s41524-026-02136-4"/>
    <hyperlink ref="G17" r:id="rId16" display="https://doi.org/10.1039/b711412e"/>
    <hyperlink ref="G18" r:id="rId17" display="https://doi.org/10.3929/ethz-c-000792087"/>
    <hyperlink ref="G19" r:id="rId18" display="https://doi.org/10.1039/d3dd00142c"/>
    <hyperlink ref="G20" r:id="rId19" display="https://doi.org/10.1016/j.drudis.2026.104650"/>
    <hyperlink ref="G21" r:id="rId20" display="https://doi.org/10.1063/5.0048164"/>
    <hyperlink ref="G22" r:id="rId21" display="https://doi.org/10.2174/0129503752469903260723075500"/>
    <hyperlink ref="G23" r:id="rId22" display="https://doi.org/10.1007/978-3-642-13523-1_24"/>
    <hyperlink ref="G24" r:id="rId23" display="https://doi.org/10.1039/d5dd00151j"/>
    <hyperlink ref="G25" r:id="rId24" display="https://doi.org/10.68159/s759761095"/>
    <hyperlink ref="G26" r:id="rId25" display="https://doi.org/10.2139/ssrn.5393137"/>
    <hyperlink ref="G27" r:id="rId26" display="https://doi.org/10.5281/zenodo.22755353"/>
    <hyperlink ref="G28" r:id="rId27" display="https://doi.org/10.6084/m9.figshare.4601002"/>
    <hyperlink ref="G29" r:id="rId28" display="https://doi.org/10.13140/rg.2.2.27446.05440"/>
    <hyperlink ref="G30" r:id="rId29" display="https://doi.org/10.1002/aenm.202102698"/>
    <hyperlink ref="G31" r:id="rId30" display="https://doi.org/10.1039/d5dd00157a"/>
    <hyperlink ref="G32" r:id="rId31" display="https://openalex.org/W7219956905"/>
    <hyperlink ref="G33" r:id="rId32" display="https://doi.org/10.1002/anie.201810384"/>
    <hyperlink ref="G34" r:id="rId33" display="https://doi.org/10.3390/data11070180"/>
    <hyperlink ref="G35" r:id="rId34" display="https://doi.org/10.5281/zenodo.7369997"/>
    <hyperlink ref="G36" r:id="rId35" display="https://doi.org/10.1039/d6nr02314b"/>
    <hyperlink ref="G37" r:id="rId36" display="https://doi.org/10.26434/chemrxiv-2023-6z9mq"/>
    <hyperlink ref="G38" r:id="rId37" display="https://doi.org/10.1063/10.0039813"/>
    <hyperlink ref="G39" r:id="rId38" display="https://doi.org/10.1371/journal.pone.0287739"/>
    <hyperlink ref="G40" r:id="rId39" display="https://doi.org/10.3390/en19174050"/>
    <hyperlink ref="G41" r:id="rId40" display="https://doi.org/10.48550/arxiv.2403.01332"/>
    <hyperlink ref="G42" r:id="rId41" display="https://doi.org/10.1021/op0341972"/>
    <hyperlink ref="G43" r:id="rId42" display="https://doi.org/10.1126/science.adj1817"/>
    <hyperlink ref="G44" r:id="rId43" display="https://doi.org/10.48550/arxiv.2512.23880"/>
    <hyperlink ref="G45" r:id="rId44" display="https://doi.org/10.17638/03195319"/>
    <hyperlink ref="G46" r:id="rId45" display="https://doi.org/10.1016/j.rineng.2026.113180"/>
    <hyperlink ref="G47" r:id="rId46" display="https://doi.org/10.1021/acscentsci.5c01624"/>
    <hyperlink ref="G48" r:id="rId47" display="https://doi.org/10.1016/j.slast.2026.100463"/>
    <hyperlink ref="G49" r:id="rId48" display="https://doi.org/10.48550/arxiv.2605.18033"/>
    <hyperlink ref="G50" r:id="rId49" display="https://doi.org/10.1038/s41524-026-02005-0"/>
    <hyperlink ref="G51" r:id="rId50" display="https://doi.org/10.1109/dsn58291.2024.00043"/>
    <hyperlink ref="G52" r:id="rId51" display="https://doi.org/10.48550/arxiv.2603.12618"/>
    <hyperlink ref="G53" r:id="rId52" display="https://doi.org/10.64898/2026.09.19.752921"/>
    <hyperlink ref="G54" r:id="rId53" display="https://doi.org/10.66132/mr2103"/>
    <hyperlink ref="G55" r:id="rId54" display="https://doi.org/10.1039/d3ce00386h"/>
    <hyperlink ref="G56" r:id="rId55" display="https://doi.org/10.1557/s43579-022-00288-0"/>
    <hyperlink ref="G57" r:id="rId56" display="https://doi.org/10.1021/acssynbio.3c00397"/>
    <hyperlink ref="G58" r:id="rId57" display="https://doi.org/10.1039/9781837072163-00085"/>
    <hyperlink ref="G59" r:id="rId58" display="https://doi.org/10.1073/pnas.94.2.412"/>
    <hyperlink ref="G60" r:id="rId59" display="https://doi.org/10.15302/frontphys.2026.071401"/>
    <hyperlink ref="G61" r:id="rId60" display="https://doi.org/10.1002/adbi.202101063"/>
    <hyperlink ref="G62" r:id="rId61" display="https://doi.org/10.1039/d4mh00797b"/>
    <hyperlink ref="G63" r:id="rId62" display="https://doi.org/10.1039/c9re00209j"/>
    <hyperlink ref="G64" r:id="rId63" display="https://doi.org/10.1002/adma.202413523"/>
    <hyperlink ref="G65" r:id="rId64" display="https://openalex.org/W2756524872"/>
    <hyperlink ref="G66" r:id="rId65" display="https://doi.org/10.1002/advs.77008"/>
    <hyperlink ref="G67" r:id="rId66" display="https://doi.org/10.26434/chemrxiv.15006080/v1"/>
    <hyperlink ref="G68" r:id="rId67" display="https://doi.org/10.48550/arxiv.2608.11216"/>
    <hyperlink ref="G69" r:id="rId68" display="https://doi.org/10.1021/nl100669s"/>
    <hyperlink ref="G70" r:id="rId69" display="https://doi.org/10.1063/5.0311536"/>
    <hyperlink ref="G71" r:id="rId70" display="https://doi.org/10.1126/scirobotics.aat5559"/>
    <hyperlink ref="G72" r:id="rId71" display="https://doi.org/10.1038/s41598-025-10672-0"/>
    <hyperlink ref="G73" r:id="rId72" display="https://doi.org/10.68159/h935604128"/>
    <hyperlink ref="G74" r:id="rId73" display="https://doi.org/10.64060/978-627-7898-01-4-9"/>
    <hyperlink ref="G75" r:id="rId74" display="https://openalex.org/W188877260"/>
    <hyperlink ref="G76" r:id="rId75" display="https://doi.org/10.1038/s41467-025-61209-y"/>
    <hyperlink ref="G77" r:id="rId76" display="https://doi.org/10.48550/arxiv.2511.05524"/>
    <hyperlink ref="G78" r:id="rId77" display="https://doi.org/10.1021/acsmaterialslett.3c00350"/>
    <hyperlink ref="G79" r:id="rId78" display="https://doi.org/10.1016/j.patter.2025.101372"/>
    <hyperlink ref="G80" r:id="rId79" display="https://doi.org/10.48550/arxiv.2604.07416"/>
    <hyperlink ref="G81" r:id="rId80" display="https://doi.org/10.1016/j.mtchem.2026.103934"/>
    <hyperlink ref="G82" r:id="rId81" display="https://doi.org/10.48550/arxiv.2604.12144"/>
    <hyperlink ref="G83" r:id="rId82" display="https://doi.org/10.48550/arxiv.2609.08844"/>
    <hyperlink ref="G84" r:id="rId83" display="https://doi.org/10.48550/arxiv.2604.11957"/>
    <hyperlink ref="G85" r:id="rId84" display="https://openalex.org/W3113609262"/>
    <hyperlink ref="G86" r:id="rId85" display="https://doi.org/10.48550/arxiv.2609.04564"/>
    <hyperlink ref="G87" r:id="rId86" display="https://doi.org/10.48550/arxiv.2609.26661"/>
    <hyperlink ref="G88" r:id="rId87" display="https://doi.org/10.5281/zenodo.20359869"/>
    <hyperlink ref="G89" r:id="rId88" display="https://doi.org/10.1038/s41586-026-10482-y"/>
    <hyperlink ref="G90" r:id="rId89" display="https://doi.org/10.1038/s41557-020-00596-9"/>
    <hyperlink ref="G91" r:id="rId90" display="https://doi.org/10.1039/d4dd00115j"/>
    <hyperlink ref="G92" r:id="rId91" display="https://doi.org/10.1021/acsnano.6c03268"/>
    <hyperlink ref="G93" r:id="rId92" display="https://doi.org/10.1016/j.aichem.2026.100129"/>
    <hyperlink ref="G94" r:id="rId93" display="https://doi.org/10.26434/chemrxiv.15000295/v1"/>
    <hyperlink ref="G95" r:id="rId94" display="https://doi.org/10.1007/978-3-031-23606-8_11"/>
    <hyperlink ref="G96" r:id="rId95" display="https://doi.org/10.1088/1742-6596/2632/1/012002"/>
    <hyperlink ref="G97" r:id="rId96" display="https://doi.org/10.48550/arxiv.2112.00600"/>
    <hyperlink ref="G98" r:id="rId97" display="https://doi.org/10.48550/arxiv.2609.22411"/>
    <hyperlink ref="G99" r:id="rId98" display="https://doi.org/10.26434/chemrxiv.15000705/v1"/>
    <hyperlink ref="G100" r:id="rId99" display="https://doi.org/10.1002/ange.3008697"/>
    <hyperlink ref="G101" r:id="rId100" display="https://doi.org/10.1038/s44286-025-00291-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true" outlineLevel="0" collapsed="false">
      <c r="A1" s="1" t="s">
        <v>451</v>
      </c>
      <c r="B1" s="1" t="s">
        <v>493</v>
      </c>
    </row>
    <row r="2" customFormat="false" ht="15" hidden="false" customHeight="true" outlineLevel="0" collapsed="false">
      <c r="A2" s="1" t="s">
        <v>466</v>
      </c>
      <c r="B2" s="1" t="s">
        <v>487</v>
      </c>
    </row>
    <row r="3" customFormat="false" ht="15" hidden="false" customHeight="true" outlineLevel="0" collapsed="false">
      <c r="A3" s="1" t="s">
        <v>481</v>
      </c>
      <c r="B3" s="1" t="s">
        <v>467</v>
      </c>
    </row>
    <row r="4" customFormat="false" ht="15" hidden="false" customHeight="true" outlineLevel="0" collapsed="false">
      <c r="A4" s="1" t="s">
        <v>445</v>
      </c>
      <c r="B4" s="1" t="s">
        <v>507</v>
      </c>
    </row>
    <row r="5" customFormat="false" ht="15" hidden="false" customHeight="true" outlineLevel="0" collapsed="false">
      <c r="B5" s="1" t="s">
        <v>461</v>
      </c>
    </row>
    <row r="6" customFormat="false" ht="15" hidden="false" customHeight="true" outlineLevel="0" collapsed="false">
      <c r="B6" s="1" t="s">
        <v>452</v>
      </c>
    </row>
    <row r="7" customFormat="false" ht="15" hidden="false" customHeight="true" outlineLevel="0" collapsed="false">
      <c r="B7" s="1" t="s">
        <v>559</v>
      </c>
    </row>
    <row r="8" customFormat="false" ht="15" hidden="false" customHeight="true" outlineLevel="0" collapsed="false">
      <c r="B8" s="1" t="s">
        <v>482</v>
      </c>
    </row>
    <row r="9" customFormat="false" ht="15" hidden="false" customHeight="true" outlineLevel="0" collapsed="false">
      <c r="B9" s="1" t="s">
        <v>766</v>
      </c>
    </row>
    <row r="10" customFormat="false" ht="15" hidden="false" customHeight="true" outlineLevel="0" collapsed="false">
      <c r="B10" s="1" t="s">
        <v>446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5" hidden="false" customHeight="true" outlineLevel="0" collapsed="false">
      <c r="A1" s="12" t="s">
        <v>850</v>
      </c>
    </row>
    <row r="2" customFormat="false" ht="15" hidden="false" customHeight="true" outlineLevel="0" collapsed="false">
      <c r="A2" s="12" t="s">
        <v>851</v>
      </c>
    </row>
    <row r="3" customFormat="false" ht="15" hidden="false" customHeight="true" outlineLevel="0" collapsed="false">
      <c r="A3" s="12"/>
    </row>
    <row r="4" customFormat="false" ht="15" hidden="false" customHeight="true" outlineLevel="0" collapsed="false">
      <c r="A4" s="12" t="s">
        <v>852</v>
      </c>
    </row>
    <row r="5" customFormat="false" ht="15" hidden="false" customHeight="true" outlineLevel="0" collapsed="false">
      <c r="A5" s="12" t="s">
        <v>853</v>
      </c>
    </row>
    <row r="6" customFormat="false" ht="15" hidden="false" customHeight="true" outlineLevel="0" collapsed="false">
      <c r="A6" s="12" t="s">
        <v>854</v>
      </c>
    </row>
    <row r="7" customFormat="false" ht="15" hidden="false" customHeight="true" outlineLevel="0" collapsed="false">
      <c r="A7" s="12" t="s">
        <v>855</v>
      </c>
    </row>
    <row r="8" customFormat="false" ht="15" hidden="false" customHeight="true" outlineLevel="0" collapsed="false">
      <c r="A8" s="12" t="s">
        <v>856</v>
      </c>
    </row>
    <row r="9" customFormat="false" ht="15" hidden="false" customHeight="true" outlineLevel="0" collapsed="false">
      <c r="A9" s="12" t="s">
        <v>857</v>
      </c>
    </row>
    <row r="10" customFormat="false" ht="15" hidden="false" customHeight="true" outlineLevel="0" collapsed="false">
      <c r="A10" s="12" t="s">
        <v>858</v>
      </c>
    </row>
    <row r="11" customFormat="false" ht="15" hidden="false" customHeight="true" outlineLevel="0" collapsed="false">
      <c r="A11" s="12" t="s">
        <v>859</v>
      </c>
    </row>
    <row r="12" customFormat="false" ht="15" hidden="false" customHeight="true" outlineLevel="0" collapsed="false">
      <c r="A12" s="12" t="s">
        <v>860</v>
      </c>
    </row>
    <row r="13" customFormat="false" ht="15" hidden="false" customHeight="true" outlineLevel="0" collapsed="false">
      <c r="A13" s="12"/>
    </row>
    <row r="14" customFormat="false" ht="15" hidden="false" customHeight="true" outlineLevel="0" collapsed="false">
      <c r="A14" s="12" t="s">
        <v>861</v>
      </c>
    </row>
    <row r="15" customFormat="false" ht="15" hidden="false" customHeight="true" outlineLevel="0" collapsed="false">
      <c r="A15" s="12" t="s">
        <v>862</v>
      </c>
    </row>
    <row r="16" customFormat="false" ht="15" hidden="false" customHeight="true" outlineLevel="0" collapsed="false">
      <c r="A16" s="12" t="s">
        <v>863</v>
      </c>
    </row>
    <row r="17" customFormat="false" ht="15" hidden="false" customHeight="true" outlineLevel="0" collapsed="false">
      <c r="A17" s="12" t="s">
        <v>864</v>
      </c>
    </row>
    <row r="18" customFormat="false" ht="15" hidden="false" customHeight="true" outlineLevel="0" collapsed="false">
      <c r="A18" s="12" t="s">
        <v>865</v>
      </c>
    </row>
    <row r="19" customFormat="false" ht="15" hidden="false" customHeight="true" outlineLevel="0" collapsed="false">
      <c r="A19" s="12" t="s">
        <v>866</v>
      </c>
    </row>
    <row r="20" customFormat="false" ht="15" hidden="false" customHeight="true" outlineLevel="0" collapsed="false">
      <c r="A20" s="12" t="s">
        <v>867</v>
      </c>
    </row>
    <row r="21" customFormat="false" ht="15" hidden="false" customHeight="true" outlineLevel="0" collapsed="false">
      <c r="A21" s="12" t="s">
        <v>868</v>
      </c>
    </row>
    <row r="22" customFormat="false" ht="15" hidden="false" customHeight="true" outlineLevel="0" collapsed="false">
      <c r="A22" s="12"/>
    </row>
    <row r="23" customFormat="false" ht="15" hidden="false" customHeight="true" outlineLevel="0" collapsed="false">
      <c r="A23" s="12" t="s">
        <v>869</v>
      </c>
    </row>
    <row r="24" customFormat="false" ht="15" hidden="false" customHeight="true" outlineLevel="0" collapsed="false">
      <c r="A24" s="12" t="s">
        <v>870</v>
      </c>
    </row>
    <row r="25" customFormat="false" ht="15" hidden="false" customHeight="true" outlineLevel="0" collapsed="false">
      <c r="A25" s="12"/>
    </row>
    <row r="26" customFormat="false" ht="15" hidden="false" customHeight="true" outlineLevel="0" collapsed="false">
      <c r="A26" s="12" t="s">
        <v>871</v>
      </c>
    </row>
    <row r="27" customFormat="false" ht="15" hidden="false" customHeight="true" outlineLevel="0" collapsed="false">
      <c r="A27" s="12" t="s">
        <v>872</v>
      </c>
    </row>
    <row r="28" customFormat="false" ht="15" hidden="false" customHeight="true" outlineLevel="0" collapsed="false">
      <c r="A28" s="12"/>
    </row>
    <row r="29" customFormat="false" ht="15" hidden="false" customHeight="true" outlineLevel="0" collapsed="false">
      <c r="A29" s="12" t="s">
        <v>873</v>
      </c>
    </row>
    <row r="30" customFormat="false" ht="15" hidden="false" customHeight="true" outlineLevel="0" collapsed="false">
      <c r="A30" s="12" t="s">
        <v>874</v>
      </c>
    </row>
    <row r="31" customFormat="false" ht="15" hidden="false" customHeight="true" outlineLevel="0" collapsed="false">
      <c r="A31" s="12" t="s">
        <v>875</v>
      </c>
    </row>
    <row r="32" customFormat="false" ht="15" hidden="false" customHeight="true" outlineLevel="0" collapsed="false">
      <c r="A32" s="12" t="s">
        <v>876</v>
      </c>
    </row>
    <row r="33" customFormat="false" ht="15" hidden="false" customHeight="true" outlineLevel="0" collapsed="false">
      <c r="A33" s="12" t="s">
        <v>877</v>
      </c>
    </row>
    <row r="34" customFormat="false" ht="15" hidden="false" customHeight="true" outlineLevel="0" collapsed="false">
      <c r="A34" s="12" t="s">
        <v>878</v>
      </c>
    </row>
    <row r="35" customFormat="false" ht="15" hidden="false" customHeight="true" outlineLevel="0" collapsed="false">
      <c r="A35" s="12" t="s">
        <v>879</v>
      </c>
    </row>
    <row r="36" customFormat="false" ht="15" hidden="false" customHeight="true" outlineLevel="0" collapsed="false">
      <c r="A36" s="12" t="s">
        <v>880</v>
      </c>
    </row>
    <row r="37" customFormat="false" ht="15" hidden="false" customHeight="true" outlineLevel="0" collapsed="false">
      <c r="A37" s="12" t="s">
        <v>881</v>
      </c>
    </row>
    <row r="38" customFormat="false" ht="15" hidden="false" customHeight="true" outlineLevel="0" collapsed="false">
      <c r="A38" s="12" t="s">
        <v>882</v>
      </c>
    </row>
    <row r="39" customFormat="false" ht="15" hidden="false" customHeight="true" outlineLevel="0" collapsed="false">
      <c r="A39" s="12" t="s">
        <v>883</v>
      </c>
    </row>
    <row r="40" customFormat="false" ht="15" hidden="false" customHeight="true" outlineLevel="0" collapsed="false">
      <c r="A40" s="12"/>
    </row>
    <row r="41" customFormat="false" ht="15" hidden="false" customHeight="true" outlineLevel="0" collapsed="false">
      <c r="A41" s="12" t="s">
        <v>884</v>
      </c>
    </row>
    <row r="42" customFormat="false" ht="15" hidden="false" customHeight="true" outlineLevel="0" collapsed="false">
      <c r="A42" s="12" t="s">
        <v>885</v>
      </c>
    </row>
    <row r="43" customFormat="false" ht="15" hidden="false" customHeight="true" outlineLevel="0" collapsed="false">
      <c r="A43" s="12" t="s">
        <v>886</v>
      </c>
    </row>
    <row r="44" customFormat="false" ht="15" hidden="false" customHeight="true" outlineLevel="0" collapsed="false">
      <c r="A44" s="12" t="s">
        <v>887</v>
      </c>
    </row>
    <row r="45" customFormat="false" ht="15" hidden="false" customHeight="true" outlineLevel="0" collapsed="false">
      <c r="A45" s="12" t="s">
        <v>888</v>
      </c>
    </row>
    <row r="46" customFormat="false" ht="15" hidden="false" customHeight="true" outlineLevel="0" collapsed="false">
      <c r="A46" s="12" t="s">
        <v>889</v>
      </c>
    </row>
    <row r="47" customFormat="false" ht="15" hidden="false" customHeight="true" outlineLevel="0" collapsed="false">
      <c r="A47" s="12" t="s">
        <v>890</v>
      </c>
    </row>
    <row r="48" customFormat="false" ht="15" hidden="false" customHeight="true" outlineLevel="0" collapsed="false">
      <c r="A48" s="12" t="s">
        <v>891</v>
      </c>
    </row>
    <row r="49" customFormat="false" ht="15" hidden="false" customHeight="true" outlineLevel="0" collapsed="false">
      <c r="A49" s="12" t="s">
        <v>892</v>
      </c>
    </row>
    <row r="50" customFormat="false" ht="15" hidden="false" customHeight="true" outlineLevel="0" collapsed="false">
      <c r="A50" s="12"/>
    </row>
    <row r="51" customFormat="false" ht="15" hidden="false" customHeight="true" outlineLevel="0" collapsed="false">
      <c r="A51" s="12" t="s">
        <v>893</v>
      </c>
    </row>
    <row r="52" customFormat="false" ht="15" hidden="false" customHeight="true" outlineLevel="0" collapsed="false">
      <c r="A52" s="12"/>
    </row>
    <row r="53" customFormat="false" ht="15" hidden="false" customHeight="true" outlineLevel="0" collapsed="false">
      <c r="A53" s="12" t="s">
        <v>894</v>
      </c>
    </row>
    <row r="54" customFormat="false" ht="15" hidden="false" customHeight="true" outlineLevel="0" collapsed="false">
      <c r="A54" s="12" t="s">
        <v>895</v>
      </c>
    </row>
    <row r="55" customFormat="false" ht="15" hidden="false" customHeight="true" outlineLevel="0" collapsed="false">
      <c r="A55" s="12" t="s">
        <v>870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0"/>
  </cols>
  <sheetData>
    <row r="1" customFormat="false" ht="15" hidden="false" customHeight="false" outlineLevel="0" collapsed="false">
      <c r="A1" s="13" t="s">
        <v>896</v>
      </c>
      <c r="B1" s="13" t="s">
        <v>897</v>
      </c>
    </row>
    <row r="2" customFormat="false" ht="41.75" hidden="false" customHeight="false" outlineLevel="0" collapsed="false">
      <c r="A2" s="14" t="s">
        <v>898</v>
      </c>
      <c r="B2" s="14" t="s">
        <v>899</v>
      </c>
    </row>
    <row r="3" customFormat="false" ht="55.2" hidden="false" customHeight="false" outlineLevel="0" collapsed="false">
      <c r="A3" s="14" t="s">
        <v>900</v>
      </c>
      <c r="B3" s="14" t="s">
        <v>901</v>
      </c>
    </row>
    <row r="4" customFormat="false" ht="28.35" hidden="false" customHeight="false" outlineLevel="0" collapsed="false">
      <c r="A4" s="14" t="s">
        <v>902</v>
      </c>
      <c r="B4" s="14" t="s">
        <v>903</v>
      </c>
    </row>
    <row r="5" customFormat="false" ht="28.35" hidden="false" customHeight="false" outlineLevel="0" collapsed="false">
      <c r="A5" s="14" t="s">
        <v>904</v>
      </c>
      <c r="B5" s="14" t="s">
        <v>905</v>
      </c>
    </row>
    <row r="6" customFormat="false" ht="28.35" hidden="false" customHeight="false" outlineLevel="0" collapsed="false">
      <c r="A6" s="14" t="s">
        <v>906</v>
      </c>
      <c r="B6" s="14" t="s">
        <v>907</v>
      </c>
    </row>
    <row r="7" customFormat="false" ht="28.35" hidden="false" customHeight="false" outlineLevel="0" collapsed="false">
      <c r="A7" s="14" t="s">
        <v>908</v>
      </c>
      <c r="B7" s="14" t="s">
        <v>909</v>
      </c>
    </row>
    <row r="8" customFormat="false" ht="15" hidden="false" customHeight="false" outlineLevel="0" collapsed="false">
      <c r="A8" s="14" t="s">
        <v>910</v>
      </c>
      <c r="B8" s="14" t="s">
        <v>911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912</v>
      </c>
      <c r="B1" s="0" t="s">
        <v>913</v>
      </c>
    </row>
    <row r="2" customFormat="false" ht="15" hidden="false" customHeight="false" outlineLevel="0" collapsed="false">
      <c r="A2" s="0" t="s">
        <v>914</v>
      </c>
      <c r="B2" s="0" t="s">
        <v>915</v>
      </c>
    </row>
    <row r="3" customFormat="false" ht="15" hidden="false" customHeight="false" outlineLevel="0" collapsed="false">
      <c r="A3" s="0" t="s">
        <v>916</v>
      </c>
      <c r="B3" s="0" t="s">
        <v>917</v>
      </c>
    </row>
    <row r="4" customFormat="false" ht="15" hidden="false" customHeight="false" outlineLevel="0" collapsed="false">
      <c r="A4" s="0" t="s">
        <v>918</v>
      </c>
      <c r="B4" s="0" t="s">
        <v>919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2026-10-23T15:51:44Z</dcterms:created>
  <dc:creator>openpyxl</dc:creator>
  <dc:description/>
  <dc:language>en-US</dc:language>
  <cp:lastModifiedBy/>
  <dcterms:modified xsi:type="dcterms:W3CDTF">2026-10-23T19:28:17Z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